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ktiw\Desktop\"/>
    </mc:Choice>
  </mc:AlternateContent>
  <xr:revisionPtr revIDLastSave="0" documentId="13_ncr:1_{36738721-4E99-413E-AF6D-0AE6A8D747AC}" xr6:coauthVersionLast="47" xr6:coauthVersionMax="47" xr10:uidLastSave="{00000000-0000-0000-0000-000000000000}"/>
  <bookViews>
    <workbookView xWindow="-108" yWindow="-108" windowWidth="23256" windowHeight="13176" firstSheet="14" activeTab="16" xr2:uid="{00000000-000D-0000-FFFF-FFFF00000000}"/>
  </bookViews>
  <sheets>
    <sheet name="Region wise catogory revenue" sheetId="7" r:id="rId1"/>
    <sheet name="Delry Status wise no of orders" sheetId="8" r:id="rId2"/>
    <sheet name="Regionwise avg delivery time" sheetId="9" r:id="rId3"/>
    <sheet name="Region-wise delivered order" sheetId="10" r:id="rId4"/>
    <sheet name="Delivery Status wise Revenue" sheetId="11" r:id="rId5"/>
    <sheet name="Total Revenue" sheetId="12" r:id="rId6"/>
    <sheet name="%Fast Delivery" sheetId="13" r:id="rId7"/>
    <sheet name="Top 3 Regions" sheetId="14" r:id="rId8"/>
    <sheet name="Highest selling Products" sheetId="15" r:id="rId9"/>
    <sheet name="Orders" sheetId="3" r:id="rId10"/>
    <sheet name="Product Master" sheetId="4" r:id="rId11"/>
    <sheet name="Region Master" sheetId="5" r:id="rId12"/>
    <sheet name="Customer Master" sheetId="6" r:id="rId13"/>
    <sheet name="Region Wise Sum of Sales" sheetId="21" r:id="rId14"/>
    <sheet name="Payment Wise sum of sales" sheetId="22" r:id="rId15"/>
    <sheet name="Pivot Tabless" sheetId="19" r:id="rId16"/>
    <sheet name="Dashboard" sheetId="16" r:id="rId17"/>
    <sheet name="Brain-Stroming Questions" sheetId="20" r:id="rId18"/>
  </sheets>
  <definedNames>
    <definedName name="Slicer_Delivery_Status1">#N/A</definedName>
    <definedName name="Slicer_Payment_Method1">#N/A</definedName>
    <definedName name="Slicer_Region1">#N/A</definedName>
  </definedNames>
  <calcPr calcId="191029"/>
  <pivotCaches>
    <pivotCache cacheId="45" r:id="rId19"/>
    <pivotCache cacheId="46" r:id="rId20"/>
    <pivotCache cacheId="47"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20" l="1"/>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2" i="3"/>
  <c r="F5" i="13"/>
  <c r="E6" i="10"/>
  <c r="E7" i="10"/>
  <c r="E8" i="10"/>
  <c r="E9" i="10"/>
  <c r="E5" i="10"/>
  <c r="R3" i="3" a="1"/>
  <c r="R3" i="3" s="1"/>
  <c r="R4" i="3" a="1"/>
  <c r="R4" i="3"/>
  <c r="R5" i="3" a="1"/>
  <c r="R5" i="3" s="1"/>
  <c r="R6" i="3" a="1"/>
  <c r="R6" i="3"/>
  <c r="R7" i="3" a="1"/>
  <c r="R7" i="3" s="1"/>
  <c r="R8" i="3" a="1"/>
  <c r="R8" i="3"/>
  <c r="R9" i="3" a="1"/>
  <c r="R9" i="3" s="1"/>
  <c r="R10" i="3" a="1"/>
  <c r="R10" i="3"/>
  <c r="R11" i="3" a="1"/>
  <c r="R11" i="3" s="1"/>
  <c r="R12" i="3" a="1"/>
  <c r="R12" i="3"/>
  <c r="R13" i="3" a="1"/>
  <c r="R13" i="3" s="1"/>
  <c r="R14" i="3" a="1"/>
  <c r="R14" i="3"/>
  <c r="R15" i="3" a="1"/>
  <c r="R15" i="3" s="1"/>
  <c r="R16" i="3" a="1"/>
  <c r="R16" i="3"/>
  <c r="R17" i="3" a="1"/>
  <c r="R17" i="3" s="1"/>
  <c r="R18" i="3" a="1"/>
  <c r="R18" i="3"/>
  <c r="R19" i="3" a="1"/>
  <c r="R19" i="3" s="1"/>
  <c r="R20" i="3" a="1"/>
  <c r="R20" i="3"/>
  <c r="R21" i="3" a="1"/>
  <c r="R21" i="3" s="1"/>
  <c r="R22" i="3" a="1"/>
  <c r="R22" i="3"/>
  <c r="R23" i="3" a="1"/>
  <c r="R23" i="3" s="1"/>
  <c r="R24" i="3" a="1"/>
  <c r="R24" i="3"/>
  <c r="R25" i="3" a="1"/>
  <c r="R25" i="3" s="1"/>
  <c r="R26" i="3" a="1"/>
  <c r="R26" i="3"/>
  <c r="R27" i="3" a="1"/>
  <c r="R27" i="3" s="1"/>
  <c r="R28" i="3" a="1"/>
  <c r="R28" i="3"/>
  <c r="R29" i="3" a="1"/>
  <c r="R29" i="3" s="1"/>
  <c r="R30" i="3" a="1"/>
  <c r="R30" i="3"/>
  <c r="R31" i="3" a="1"/>
  <c r="R31" i="3" s="1"/>
  <c r="R32" i="3" a="1"/>
  <c r="R32" i="3"/>
  <c r="R33" i="3" a="1"/>
  <c r="R33" i="3" s="1"/>
  <c r="R34" i="3" a="1"/>
  <c r="R34" i="3"/>
  <c r="R35" i="3" a="1"/>
  <c r="R35" i="3" s="1"/>
  <c r="R36" i="3" a="1"/>
  <c r="R36" i="3"/>
  <c r="R37" i="3" a="1"/>
  <c r="R37" i="3" s="1"/>
  <c r="R38" i="3" a="1"/>
  <c r="R38" i="3"/>
  <c r="R39" i="3" a="1"/>
  <c r="R39" i="3" s="1"/>
  <c r="R40" i="3" a="1"/>
  <c r="R40" i="3"/>
  <c r="R41" i="3" a="1"/>
  <c r="R41" i="3" s="1"/>
  <c r="R42" i="3" a="1"/>
  <c r="R42" i="3"/>
  <c r="R43" i="3" a="1"/>
  <c r="R43" i="3" s="1"/>
  <c r="R44" i="3" a="1"/>
  <c r="R44" i="3"/>
  <c r="R45" i="3" a="1"/>
  <c r="R45" i="3" s="1"/>
  <c r="R46" i="3" a="1"/>
  <c r="R46" i="3"/>
  <c r="R47" i="3" a="1"/>
  <c r="R47" i="3" s="1"/>
  <c r="R48" i="3" a="1"/>
  <c r="R48" i="3"/>
  <c r="R49" i="3" a="1"/>
  <c r="R49" i="3" s="1"/>
  <c r="R50" i="3" a="1"/>
  <c r="R50" i="3"/>
  <c r="R51" i="3" a="1"/>
  <c r="R51" i="3" s="1"/>
  <c r="R52" i="3" a="1"/>
  <c r="R52" i="3"/>
  <c r="R53" i="3" a="1"/>
  <c r="R53" i="3" s="1"/>
  <c r="R54" i="3" a="1"/>
  <c r="R54" i="3"/>
  <c r="R55" i="3" a="1"/>
  <c r="R55" i="3" s="1"/>
  <c r="R56" i="3" a="1"/>
  <c r="R56" i="3"/>
  <c r="R57" i="3" a="1"/>
  <c r="R57" i="3" s="1"/>
  <c r="R58" i="3" a="1"/>
  <c r="R58" i="3"/>
  <c r="R59" i="3" a="1"/>
  <c r="R59" i="3" s="1"/>
  <c r="R60" i="3" a="1"/>
  <c r="R60" i="3"/>
  <c r="R61" i="3" a="1"/>
  <c r="R61" i="3" s="1"/>
  <c r="R62" i="3" a="1"/>
  <c r="R62" i="3"/>
  <c r="R63" i="3" a="1"/>
  <c r="R63" i="3" s="1"/>
  <c r="R64" i="3" a="1"/>
  <c r="R64" i="3"/>
  <c r="R65" i="3" a="1"/>
  <c r="R65" i="3" s="1"/>
  <c r="R66" i="3" a="1"/>
  <c r="R66" i="3"/>
  <c r="R67" i="3" a="1"/>
  <c r="R67" i="3" s="1"/>
  <c r="R68" i="3" a="1"/>
  <c r="R68" i="3"/>
  <c r="R69" i="3" a="1"/>
  <c r="R69" i="3" s="1"/>
  <c r="R70" i="3" a="1"/>
  <c r="R70" i="3"/>
  <c r="R71" i="3" a="1"/>
  <c r="R71" i="3" s="1"/>
  <c r="R72" i="3" a="1"/>
  <c r="R72" i="3"/>
  <c r="R73" i="3" a="1"/>
  <c r="R73" i="3" s="1"/>
  <c r="R74" i="3" a="1"/>
  <c r="R74" i="3"/>
  <c r="R75" i="3" a="1"/>
  <c r="R75" i="3" s="1"/>
  <c r="R76" i="3" a="1"/>
  <c r="R76" i="3"/>
  <c r="R77" i="3" a="1"/>
  <c r="R77" i="3" s="1"/>
  <c r="R78" i="3" a="1"/>
  <c r="R78" i="3"/>
  <c r="R79" i="3" a="1"/>
  <c r="R79" i="3" s="1"/>
  <c r="R80" i="3" a="1"/>
  <c r="R80" i="3"/>
  <c r="R81" i="3" a="1"/>
  <c r="R81" i="3" s="1"/>
  <c r="R82" i="3" a="1"/>
  <c r="R82" i="3"/>
  <c r="R83" i="3" a="1"/>
  <c r="R83" i="3" s="1"/>
  <c r="R84" i="3" a="1"/>
  <c r="R84" i="3"/>
  <c r="R85" i="3" a="1"/>
  <c r="R85" i="3" s="1"/>
  <c r="R86" i="3" a="1"/>
  <c r="R86" i="3"/>
  <c r="R87" i="3" a="1"/>
  <c r="R87" i="3" s="1"/>
  <c r="R88" i="3" a="1"/>
  <c r="R88" i="3"/>
  <c r="R89" i="3" a="1"/>
  <c r="R89" i="3" s="1"/>
  <c r="R90" i="3" a="1"/>
  <c r="R90" i="3"/>
  <c r="R91" i="3" a="1"/>
  <c r="R91" i="3" s="1"/>
  <c r="R92" i="3" a="1"/>
  <c r="R92" i="3"/>
  <c r="R93" i="3" a="1"/>
  <c r="R93" i="3" s="1"/>
  <c r="R94" i="3" a="1"/>
  <c r="R94" i="3"/>
  <c r="R95" i="3" a="1"/>
  <c r="R95" i="3" s="1"/>
  <c r="R96" i="3" a="1"/>
  <c r="R96" i="3"/>
  <c r="R97" i="3" a="1"/>
  <c r="R97" i="3" s="1"/>
  <c r="R98" i="3" a="1"/>
  <c r="R98" i="3"/>
  <c r="R99" i="3" a="1"/>
  <c r="R99" i="3" s="1"/>
  <c r="R100" i="3" a="1"/>
  <c r="R100" i="3"/>
  <c r="R101" i="3" a="1"/>
  <c r="R101" i="3" s="1"/>
  <c r="R2" i="3" a="1"/>
  <c r="R2" i="3" s="1"/>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2" i="3"/>
  <c r="P2"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<sst xmlns="http://schemas.openxmlformats.org/spreadsheetml/2006/main" count="1247" uniqueCount="365">
  <si>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</si>
  <si>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</si>
  <si>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</si>
  <si>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</si>
  <si>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</si>
  <si>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</si>
  <si>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</si>
  <si>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</si>
  <si>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</si>
  <si>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</si>
  <si>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</si>
  <si>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</si>
  <si>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</si>
  <si>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</si>
  <si>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</si>
  <si>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</si>
  <si>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</si>
  <si>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</si>
  <si>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</si>
  <si>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</si>
  <si>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</si>
  <si>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</si>
  <si>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</si>
  <si>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</si>
  <si>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</si>
  <si>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</si>
  <si>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</si>
  <si>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</si>
  <si>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</si>
  <si>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</si>
  <si>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</si>
  <si>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</si>
  <si>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</si>
  <si>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</si>
  <si>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</si>
  <si>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</si>
  <si>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</si>
  <si>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</si>
  <si>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</si>
  <si>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</si>
  <si>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</si>
  <si>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</si>
  <si>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</si>
  <si>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</si>
  <si>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</si>
  <si>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</si>
  <si>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</si>
  <si>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</si>
  <si>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</si>
  <si>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</si>
  <si>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</si>
  <si>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</si>
  <si>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</si>
  <si>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</si>
  <si>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</si>
  <si>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</si>
  <si>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</si>
  <si>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</si>
  <si>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</si>
  <si>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</si>
  <si>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</si>
  <si>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</si>
  <si>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</si>
  <si>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</si>
  <si>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</si>
  <si>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</si>
  <si>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</si>
  <si>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</si>
  <si>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</si>
  <si>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</si>
  <si>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</si>
  <si>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</si>
  <si>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</si>
  <si>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</si>
  <si>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</si>
  <si>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</si>
  <si>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</si>
  <si>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</si>
  <si>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</si>
  <si>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</si>
  <si>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</si>
  <si>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</si>
  <si>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</si>
  <si>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</si>
  <si>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</si>
  <si>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</si>
  <si>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</si>
  <si>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</si>
  <si>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</si>
  <si>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</si>
  <si>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</si>
  <si>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</si>
  <si>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</si>
  <si>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</si>
  <si>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</si>
  <si>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</si>
  <si>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</si>
  <si>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</si>
  <si>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</si>
  <si>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</si>
  <si>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</si>
  <si>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</si>
  <si>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</si>
  <si>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</si>
  <si>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</si>
  <si>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</si>
  <si>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</si>
  <si>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</si>
  <si>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</si>
  <si>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</si>
  <si>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</si>
  <si>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</si>
  <si>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</si>
  <si>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</si>
  <si>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</si>
  <si>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</si>
  <si>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</si>
  <si>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</si>
  <si>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</si>
  <si>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</si>
  <si>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</si>
  <si>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</si>
  <si>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</si>
  <si>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</si>
  <si>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</si>
  <si>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</si>
  <si>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</si>
  <si>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</si>
  <si>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</si>
  <si>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</si>
  <si>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</si>
  <si>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</si>
  <si>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</si>
  <si>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</si>
  <si>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</si>
  <si>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</si>
  <si>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</si>
  <si>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</si>
  <si>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</si>
  <si>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</si>
  <si>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</si>
  <si>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</si>
  <si>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</si>
  <si>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</si>
  <si>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</si>
  <si>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</si>
  <si>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</si>
  <si>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</si>
  <si>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</si>
  <si>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</si>
  <si>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</si>
  <si>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</si>
  <si>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</si>
  <si>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</si>
  <si>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</si>
  <si>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</si>
  <si>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</si>
  <si>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</si>
  <si>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</si>
  <si>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</si>
  <si>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</si>
  <si>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</si>
  <si>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</si>
  <si>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</si>
  <si>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</si>
  <si>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</si>
  <si>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</si>
  <si>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</si>
  <si>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</si>
  <si>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</si>
  <si>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</si>
  <si>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</si>
  <si>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</si>
  <si>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</si>
  <si>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</si>
  <si>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</si>
  <si>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</si>
  <si>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</si>
  <si>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</si>
  <si>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</si>
  <si>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</si>
  <si>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</si>
  <si>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</si>
  <si>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</si>
  <si>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</si>
  <si>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</si>
  <si>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</si>
  <si>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</si>
  <si>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</si>
  <si>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</si>
  <si>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</si>
  <si>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</si>
  <si>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</si>
  <si>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</si>
  <si>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</si>
  <si>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</si>
  <si>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</si>
  <si>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</si>
  <si>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</si>
  <si>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</si>
  <si>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</si>
  <si>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</si>
  <si>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</si>
  <si>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</si>
  <si>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</si>
  <si>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</si>
  <si>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</si>
  <si>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</si>
  <si>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</si>
  <si>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</si>
  <si>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</si>
  <si>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</si>
  <si>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</si>
  <si>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</si>
  <si>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</si>
  <si>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</si>
  <si>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</si>
  <si>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</si>
  <si>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</si>
  <si>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</si>
  <si>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</si>
  <si>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</si>
  <si>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</si>
  <si>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</si>
  <si>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</si>
  <si>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</si>
  <si>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</si>
  <si>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</si>
  <si>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</si>
  <si>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</si>
  <si>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</si>
  <si>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</si>
  <si>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</si>
  <si>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</si>
  <si>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</si>
  <si>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</si>
  <si>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</si>
  <si>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</si>
  <si>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</si>
  <si>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</si>
  <si>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</si>
  <si>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</si>
  <si>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</si>
  <si>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</si>
  <si>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</si>
  <si>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</si>
  <si>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</si>
  <si>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</si>
  <si>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</si>
  <si>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</si>
  <si>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</si>
  <si>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</si>
  <si>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</si>
  <si>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</si>
  <si>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</si>
  <si>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</si>
  <si>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</si>
  <si>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</si>
  <si>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</si>
  <si>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</si>
  <si>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</si>
  <si>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</si>
  <si>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</si>
  <si>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</si>
  <si>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</si>
  <si>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</si>
  <si>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</si>
  <si>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</si>
  <si>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</si>
  <si>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</si>
  <si>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</si>
  <si>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</si>
  <si>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</si>
  <si>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</si>
  <si>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</si>
  <si>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</si>
  <si>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</si>
  <si>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</si>
  <si>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</si>
  <si>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</si>
  <si>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</si>
  <si>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</si>
  <si>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</si>
  <si>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</si>
  <si>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</si>
  <si>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</si>
  <si>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</si>
  <si>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</si>
  <si>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</si>
  <si>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</si>
  <si>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</si>
  <si>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</si>
  <si>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</si>
  <si>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</si>
  <si>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</si>
  <si>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</si>
  <si>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</si>
  <si>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</si>
  <si>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</si>
  <si>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</si>
  <si>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</si>
  <si>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</si>
  <si>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</si>
  <si>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</si>
  <si>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</si>
  <si>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</si>
  <si>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</si>
  <si>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</si>
  <si>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</si>
  <si>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</si>
  <si>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</si>
  <si>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If Cancelled</t>
  </si>
  <si>
    <t>average delivery time</t>
  </si>
  <si>
    <t>Product Category</t>
  </si>
  <si>
    <t>Row Labels</t>
  </si>
  <si>
    <t>Grand Total</t>
  </si>
  <si>
    <t>Sum of Total Amount</t>
  </si>
  <si>
    <t>Count of Order ID</t>
  </si>
  <si>
    <t>(All)</t>
  </si>
  <si>
    <t>Column Labels</t>
  </si>
  <si>
    <t>Average of average delivery time</t>
  </si>
  <si>
    <t>Delivery performance</t>
  </si>
  <si>
    <t>No</t>
  </si>
  <si>
    <t>yes</t>
  </si>
  <si>
    <t>Fast</t>
  </si>
  <si>
    <t>NA</t>
  </si>
  <si>
    <t>Slow</t>
  </si>
  <si>
    <t>%Fast Delivery</t>
  </si>
  <si>
    <t>Count of Total Amount</t>
  </si>
  <si>
    <t>Region By Sum Of Sales</t>
  </si>
  <si>
    <t>Payment method By Sum Of Sales</t>
  </si>
  <si>
    <t>Delivery Status Analysis</t>
  </si>
  <si>
    <t>Monthly Sales</t>
  </si>
  <si>
    <t>Jan</t>
  </si>
  <si>
    <t>Feb</t>
  </si>
  <si>
    <t>Jun</t>
  </si>
  <si>
    <t>Jul</t>
  </si>
  <si>
    <t>Aug</t>
  </si>
  <si>
    <t>Oct</t>
  </si>
  <si>
    <t>Dec</t>
  </si>
  <si>
    <t>May</t>
  </si>
  <si>
    <t>Apr</t>
  </si>
  <si>
    <t>Nov</t>
  </si>
  <si>
    <t>Total Sales</t>
  </si>
  <si>
    <t>BRAIN-STROMING QUESTIONS</t>
  </si>
  <si>
    <t>Q1) What is the most successful product category in terms of revenue?</t>
  </si>
  <si>
    <t xml:space="preserve">PROOF- </t>
  </si>
  <si>
    <t>Q2) Which region has the highest order cancellation rate?</t>
  </si>
  <si>
    <t>Count of If Cancelled</t>
  </si>
  <si>
    <t>ANS- NORTH HAS THE HIGHEST CANCELLATION RATE AMOUNG ALL REGION.</t>
  </si>
  <si>
    <t>ANS- ELECTRONICS- WHICH HAVE TOTAL REVENUE 15209.</t>
  </si>
  <si>
    <t>Q3) How many orders were delivered within 2 days?</t>
  </si>
  <si>
    <t xml:space="preserve">ANS-  </t>
  </si>
  <si>
    <t>COUNTIFS(Orders!$I$1:$I$101,"Delivered",Orders!$P$1:$P$101,"&lt;=2")</t>
  </si>
  <si>
    <t>Q4) How has the use of XLOOKUP simplified cross-sheet analysis?</t>
  </si>
  <si>
    <t>Ans- XLOOKUP simplified cross-sheet analysis by making data retrieval flexible, error-free, and independent of column positioning, enabling faster dashboard creation and more reliable performance insights.</t>
  </si>
  <si>
    <t>Q5) What recommendations would you give to improve delivery performance?</t>
  </si>
  <si>
    <t>Ans- 1- Segment the Data
Analyze delivery time by region, warehouse, courier partner, and payment type to identify high-delay clusters.
2- Track Stage-Level Bottlenecks
Break delivery into stages (Order → Dispatch → Transit → Delivered) and measure delay at each step to find the exact friction point.
3- Monitor SLA Breaches
Create KPIs for % orders exceeding 48-hour SLA and track aging orders to prevent long transit delays.
4-  Link Delays to Cancellations &amp; Revenue
Analyze whether longer delivery times increase cancellation rate and quantify revenue impact.
5- Run Data-Backed Experiments
Test faster dispatch, alternate courier partners, or priority handling for prepaid orders and measure impact on On-Time Delivery %.</t>
  </si>
  <si>
    <t>Sum of HIGH</t>
  </si>
  <si>
    <t>Sum of Low</t>
  </si>
  <si>
    <t xml:space="preserve">Sum of High </t>
  </si>
  <si>
    <t xml:space="preserve">Sum of Low </t>
  </si>
  <si>
    <t>Total no of Orders</t>
  </si>
  <si>
    <t>Mar</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</si>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</sst>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1"/>
      <color theme="1"/>
      <name val="Calibri"/>
      <family val="2"/>
    </font>
    <font>
      <sz val="11"/>
      <color theme="1"/>
      <name val="Calibri"/>
      <family val="2"/>
    </font>
    <font>
      <b/>
      <sz val="11"/>
      <color theme="1"/>
      <name val="Calibri"/>
      <family val="2"/>
      <scheme val="minor"/>
    </font>
    <font>
      <sz val="11"/>
      <color theme="1"/>
      <name val="Segoe UI"/>
      <family val="2"/>
    </font>
    <font>
      <i/>
      <sz val="11"/>
      <color theme="1"/>
      <name val="Calibri"/>
      <family val="2"/>
      <scheme val="minor"/>
    </font>
    <font>
      <b/>
      <i/>
      <u/>
      <sz val="20"/>
      <name val="Calibri"/>
      <family val="2"/>
      <scheme val="minor"/>
    </font>
    <font>
      <sz val="20"/>
      <name val="Calibri"/>
      <family val="2"/>
      <scheme val="minor"/>
    </font>
    <font>
      <b/>
      <i/>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0" fillId="0" borderId="1" xfId="0" applyBorder="1"/>
    <xf numFmtId="14" fontId="0" fillId="0" borderId="1" xfId="0" applyNumberFormat="1" applyBorder="1"/>
    <xf numFmtId="0" fontId="1" fillId="0" borderId="2" xfId="0" applyFont="1" applyBorder="1" applyAlignment="1">
      <alignment horizontal="left" vertical="center"/>
    </xf>
    <xf numFmtId="0" fontId="1" fillId="0" borderId="2" xfId="0" applyFont="1" applyBorder="1" applyAlignment="1">
      <alignment horizontal="right" vertical="center"/>
    </xf>
    <xf numFmtId="0" fontId="2" fillId="0" borderId="2" xfId="0" applyFont="1" applyBorder="1" applyAlignment="1">
      <alignment horizontal="left" vertical="center"/>
    </xf>
    <xf numFmtId="0" fontId="2" fillId="0" borderId="2" xfId="0" applyFont="1" applyBorder="1" applyAlignment="1">
      <alignment horizontal="right" vertical="center"/>
    </xf>
    <xf numFmtId="3" fontId="2" fillId="0" borderId="2" xfId="0" applyNumberFormat="1" applyFont="1" applyBorder="1"/>
    <xf numFmtId="0" fontId="3" fillId="0" borderId="1" xfId="0" applyFont="1" applyBorder="1"/>
    <xf numFmtId="14" fontId="3" fillId="0" borderId="1" xfId="0" applyNumberFormat="1" applyFont="1" applyBorder="1"/>
    <xf numFmtId="0" fontId="0" fillId="0" borderId="0" xfId="0" applyAlignment="1">
      <alignment horizontal="center"/>
    </xf>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0" fontId="3" fillId="2" borderId="0" xfId="0" applyFont="1" applyFill="1"/>
    <xf numFmtId="2" fontId="0" fillId="0" borderId="0" xfId="0" applyNumberFormat="1"/>
    <xf numFmtId="0" fontId="5" fillId="0" borderId="0" xfId="0" applyFont="1" applyAlignment="1">
      <alignment vertical="center"/>
    </xf>
    <xf numFmtId="0" fontId="0" fillId="2" borderId="0" xfId="0" applyFill="1"/>
    <xf numFmtId="0" fontId="8" fillId="5" borderId="0" xfId="0" applyFont="1" applyFill="1"/>
    <xf numFmtId="0" fontId="8" fillId="4" borderId="0" xfId="0" applyFont="1" applyFill="1" applyAlignment="1">
      <alignment vertical="center"/>
    </xf>
    <xf numFmtId="0" fontId="3" fillId="6" borderId="0" xfId="0" applyFont="1" applyFill="1"/>
    <xf numFmtId="0" fontId="0" fillId="6" borderId="0" xfId="0" applyFill="1"/>
    <xf numFmtId="0" fontId="8" fillId="0" borderId="0" xfId="0" applyFont="1" applyAlignment="1">
      <alignment vertical="top" wrapText="1"/>
    </xf>
    <xf numFmtId="14" fontId="3" fillId="0" borderId="1" xfId="0" applyNumberFormat="1" applyFont="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3" fillId="2" borderId="0" xfId="0" applyFont="1" applyFill="1" applyAlignment="1">
      <alignment horizontal="center"/>
    </xf>
    <xf numFmtId="0" fontId="5" fillId="3"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4" borderId="0" xfId="0" applyFont="1" applyFill="1" applyAlignment="1">
      <alignment horizontal="left" vertical="center"/>
    </xf>
    <xf numFmtId="0" fontId="3" fillId="2" borderId="0" xfId="0" applyFont="1" applyFill="1" applyAlignment="1">
      <alignment horizontal="left"/>
    </xf>
    <xf numFmtId="0" fontId="8" fillId="4" borderId="0" xfId="0" applyFont="1" applyFill="1" applyAlignment="1">
      <alignment horizontal="left" vertical="top" wrapText="1"/>
    </xf>
    <xf numFmtId="0" fontId="0" fillId="0" borderId="0" xfId="0" applyNumberFormat="1"/>
  </cellXfs>
  <cellStyles count="1">
    <cellStyle name="Normal" xfId="0" builtinId="0"/>
  </cellStyles>
  <dxfs count="12">
    <dxf>
      <numFmt numFmtId="2" formatCode="0.00"/>
    </dxf>
    <dxf>
      <numFmt numFmtId="14"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5" tint="0.39994506668294322"/>
        </patternFill>
      </fill>
    </dxf>
  </dxfs>
  <tableStyles count="1" defaultTableStyle="TableStyleMedium2" defaultPivotStyle="PivotStyleLight16">
    <tableStyle name="Slicer Style 1" pivot="0" table="0" count="1" xr9:uid="{1F9C3BB1-39D9-46F1-BF88-40E5F1F78932}">
      <tableStyleElement type="wholeTable" dxfId="1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Week 3 Dataset.xlsx]Region Wise Sum of Sales!PivotTable1</c:name>
    <c:fmtId val="4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Wise Sum of Sales'!$C$3</c:f>
              <c:strCache>
                <c:ptCount val="1"/>
                <c:pt idx="0">
                  <c:v>Sum of Total Amount</c:v>
                </c:pt>
              </c:strCache>
            </c:strRef>
          </c:tx>
          <c:spPr>
            <a:solidFill>
              <a:schemeClr val="accent1"/>
            </a:solidFill>
            <a:ln>
              <a:noFill/>
            </a:ln>
            <a:effectLst/>
            <a:sp3d/>
          </c:spPr>
          <c:invertIfNegative val="0"/>
          <c:cat>
            <c:strRef>
              <c:f>'Region Wise Sum of Sales'!$B$4:$B$9</c:f>
              <c:strCache>
                <c:ptCount val="5"/>
                <c:pt idx="0">
                  <c:v>Central</c:v>
                </c:pt>
                <c:pt idx="1">
                  <c:v>East</c:v>
                </c:pt>
                <c:pt idx="2">
                  <c:v>North</c:v>
                </c:pt>
                <c:pt idx="3">
                  <c:v>South</c:v>
                </c:pt>
                <c:pt idx="4">
                  <c:v>West</c:v>
                </c:pt>
              </c:strCache>
            </c:strRef>
          </c:cat>
          <c:val>
            <c:numRef>
              <c:f>'Region Wise Sum of Sales'!$C$4:$C$9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AC5F-4D0D-AB06-7376D18B5BD7}"/>
            </c:ext>
          </c:extLst>
        </c:ser>
        <c:ser>
          <c:idx val="1"/>
          <c:order val="1"/>
          <c:tx>
            <c:strRef>
              <c:f>'Region Wise Sum of Sales'!$D$3</c:f>
              <c:strCache>
                <c:ptCount val="1"/>
                <c:pt idx="0">
                  <c:v>Sum of High </c:v>
                </c:pt>
              </c:strCache>
            </c:strRef>
          </c:tx>
          <c:spPr>
            <a:solidFill>
              <a:schemeClr val="accent2"/>
            </a:solidFill>
            <a:ln>
              <a:noFill/>
            </a:ln>
            <a:effectLst/>
            <a:sp3d/>
          </c:spPr>
          <c:invertIfNegative val="0"/>
          <c:cat>
            <c:strRef>
              <c:f>'Region Wise Sum of Sales'!$B$4:$B$9</c:f>
              <c:strCache>
                <c:ptCount val="5"/>
                <c:pt idx="0">
                  <c:v>Central</c:v>
                </c:pt>
                <c:pt idx="1">
                  <c:v>East</c:v>
                </c:pt>
                <c:pt idx="2">
                  <c:v>North</c:v>
                </c:pt>
                <c:pt idx="3">
                  <c:v>South</c:v>
                </c:pt>
                <c:pt idx="4">
                  <c:v>West</c:v>
                </c:pt>
              </c:strCache>
            </c:strRef>
          </c:cat>
          <c:val>
            <c:numRef>
              <c:f>'Region Wise Sum of Sales'!$D$4:$D$9</c:f>
              <c:numCache>
                <c:formatCode>General</c:formatCode>
                <c:ptCount val="5"/>
                <c:pt idx="0">
                  <c:v>#N/A</c:v>
                </c:pt>
                <c:pt idx="1">
                  <c:v>#N/A</c:v>
                </c:pt>
                <c:pt idx="2">
                  <c:v>10491</c:v>
                </c:pt>
                <c:pt idx="3">
                  <c:v>7317</c:v>
                </c:pt>
                <c:pt idx="4">
                  <c:v>8359</c:v>
                </c:pt>
              </c:numCache>
            </c:numRef>
          </c:val>
          <c:extLst>
            <c:ext xmlns:c16="http://schemas.microsoft.com/office/drawing/2014/chart" uri="{C3380CC4-5D6E-409C-BE32-E72D297353CC}">
              <c16:uniqueId val="{00000001-AC5F-4D0D-AB06-7376D18B5BD7}"/>
            </c:ext>
          </c:extLst>
        </c:ser>
        <c:ser>
          <c:idx val="2"/>
          <c:order val="2"/>
          <c:tx>
            <c:strRef>
              <c:f>'Region Wise Sum of Sales'!$E$3</c:f>
              <c:strCache>
                <c:ptCount val="1"/>
                <c:pt idx="0">
                  <c:v>Sum of Low </c:v>
                </c:pt>
              </c:strCache>
            </c:strRef>
          </c:tx>
          <c:spPr>
            <a:solidFill>
              <a:schemeClr val="accent3"/>
            </a:solidFill>
            <a:ln>
              <a:noFill/>
            </a:ln>
            <a:effectLst/>
            <a:sp3d/>
          </c:spPr>
          <c:invertIfNegative val="0"/>
          <c:cat>
            <c:strRef>
              <c:f>'Region Wise Sum of Sales'!$B$4:$B$9</c:f>
              <c:strCache>
                <c:ptCount val="5"/>
                <c:pt idx="0">
                  <c:v>Central</c:v>
                </c:pt>
                <c:pt idx="1">
                  <c:v>East</c:v>
                </c:pt>
                <c:pt idx="2">
                  <c:v>North</c:v>
                </c:pt>
                <c:pt idx="3">
                  <c:v>South</c:v>
                </c:pt>
                <c:pt idx="4">
                  <c:v>West</c:v>
                </c:pt>
              </c:strCache>
            </c:strRef>
          </c:cat>
          <c:val>
            <c:numRef>
              <c:f>'Region Wise Sum of Sales'!$E$4:$E$9</c:f>
              <c:numCache>
                <c:formatCode>General</c:formatCode>
                <c:ptCount val="5"/>
                <c:pt idx="0">
                  <c:v>5456</c:v>
                </c:pt>
                <c:pt idx="1">
                  <c:v>3635</c:v>
                </c:pt>
                <c:pt idx="2">
                  <c:v>#N/A</c:v>
                </c:pt>
                <c:pt idx="3">
                  <c:v>#N/A</c:v>
                </c:pt>
                <c:pt idx="4">
                  <c:v>#N/A</c:v>
                </c:pt>
              </c:numCache>
            </c:numRef>
          </c:val>
          <c:extLst>
            <c:ext xmlns:c16="http://schemas.microsoft.com/office/drawing/2014/chart" uri="{C3380CC4-5D6E-409C-BE32-E72D297353CC}">
              <c16:uniqueId val="{00000002-AC5F-4D0D-AB06-7376D18B5BD7}"/>
            </c:ext>
          </c:extLst>
        </c:ser>
        <c:dLbls>
          <c:showLegendKey val="0"/>
          <c:showVal val="0"/>
          <c:showCatName val="0"/>
          <c:showSerName val="0"/>
          <c:showPercent val="0"/>
          <c:showBubbleSize val="0"/>
        </c:dLbls>
        <c:gapWidth val="150"/>
        <c:shape val="box"/>
        <c:axId val="1194185248"/>
        <c:axId val="1194195328"/>
        <c:axId val="0"/>
      </c:bar3DChart>
      <c:catAx>
        <c:axId val="119418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195328"/>
        <c:crosses val="autoZero"/>
        <c:auto val="1"/>
        <c:lblAlgn val="ctr"/>
        <c:lblOffset val="100"/>
        <c:noMultiLvlLbl val="0"/>
      </c:catAx>
      <c:valAx>
        <c:axId val="1194195328"/>
        <c:scaling>
          <c:orientation val="minMax"/>
        </c:scaling>
        <c:delete val="1"/>
        <c:axPos val="l"/>
        <c:numFmt formatCode="General" sourceLinked="1"/>
        <c:majorTickMark val="none"/>
        <c:minorTickMark val="none"/>
        <c:tickLblPos val="nextTo"/>
        <c:crossAx val="11941852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Week 3 Dataset.xlsx]Payment Wise sum of sales!PivotTable2</c:name>
    <c:fmtId val="37"/>
  </c:pivotSource>
  <c:chart>
    <c:title>
      <c:tx>
        <c:rich>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r>
              <a:rPr lang="en-US" b="1" i="1">
                <a:solidFill>
                  <a:sysClr val="windowText" lastClr="000000"/>
                </a:solidFill>
              </a:rPr>
              <a:t>Sales by Payment Method</a:t>
            </a:r>
          </a:p>
        </c:rich>
      </c:tx>
      <c:overlay val="0"/>
      <c:spPr>
        <a:noFill/>
        <a:ln>
          <a:noFill/>
        </a:ln>
        <a:effectLst/>
      </c:spPr>
      <c:txPr>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Wise sum of sales'!$C$5</c:f>
              <c:strCache>
                <c:ptCount val="1"/>
                <c:pt idx="0">
                  <c:v>Sum of HIGH</c:v>
                </c:pt>
              </c:strCache>
            </c:strRef>
          </c:tx>
          <c:spPr>
            <a:solidFill>
              <a:schemeClr val="accent1"/>
            </a:solidFill>
            <a:ln>
              <a:noFill/>
            </a:ln>
            <a:effectLst/>
            <a:sp3d/>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'Payment Wise sum of sales'!$B$6:$B$11</c:f>
              <c:strCache>
                <c:ptCount val="5"/>
                <c:pt idx="0">
                  <c:v>Amazon Pay</c:v>
                </c:pt>
                <c:pt idx="1">
                  <c:v>Apple Pay</c:v>
                </c:pt>
                <c:pt idx="2">
                  <c:v>Credit Card</c:v>
                </c:pt>
                <c:pt idx="3">
                  <c:v>Debit Card</c:v>
                </c:pt>
                <c:pt idx="4">
                  <c:v>PayPal</c:v>
                </c:pt>
              </c:strCache>
            </c:strRef>
          </c:cat>
          <c:val>
            <c:numRef>
              <c:f>'Payment Wise sum of sales'!$C$6:$C$11</c:f>
              <c:numCache>
                <c:formatCode>General</c:formatCode>
                <c:ptCount val="5"/>
                <c:pt idx="0">
                  <c:v>#N/A</c:v>
                </c:pt>
                <c:pt idx="1">
                  <c:v>#N/A</c:v>
                </c:pt>
                <c:pt idx="2">
                  <c:v>9398</c:v>
                </c:pt>
                <c:pt idx="3">
                  <c:v>8348</c:v>
                </c:pt>
                <c:pt idx="4">
                  <c:v>6649</c:v>
                </c:pt>
              </c:numCache>
            </c:numRef>
          </c:val>
          <c:extLst>
            <c:ext xmlns:c16="http://schemas.microsoft.com/office/drawing/2014/chart" uri="{C3380CC4-5D6E-409C-BE32-E72D297353CC}">
              <c16:uniqueId val="{00000000-E5A8-42CA-A12E-2EF248BDB1BC}"/>
            </c:ext>
          </c:extLst>
        </c:ser>
        <c:ser>
          <c:idx val="1"/>
          <c:order val="1"/>
          <c:tx>
            <c:strRef>
              <c:f>'Payment Wise sum of sales'!$D$5</c:f>
              <c:strCache>
                <c:ptCount val="1"/>
                <c:pt idx="0">
                  <c:v>Sum of Low</c:v>
                </c:pt>
              </c:strCache>
            </c:strRef>
          </c:tx>
          <c:spPr>
            <a:solidFill>
              <a:schemeClr val="accent2"/>
            </a:solidFill>
            <a:ln>
              <a:noFill/>
            </a:ln>
            <a:effectLst/>
            <a:sp3d/>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'Payment Wise sum of sales'!$B$6:$B$11</c:f>
              <c:strCache>
                <c:ptCount val="5"/>
                <c:pt idx="0">
                  <c:v>Amazon Pay</c:v>
                </c:pt>
                <c:pt idx="1">
                  <c:v>Apple Pay</c:v>
                </c:pt>
                <c:pt idx="2">
                  <c:v>Credit Card</c:v>
                </c:pt>
                <c:pt idx="3">
                  <c:v>Debit Card</c:v>
                </c:pt>
                <c:pt idx="4">
                  <c:v>PayPal</c:v>
                </c:pt>
              </c:strCache>
            </c:strRef>
          </c:cat>
          <c:val>
            <c:numRef>
              <c:f>'Payment Wise sum of sales'!$D$6:$D$11</c:f>
              <c:numCache>
                <c:formatCode>General</c:formatCode>
                <c:ptCount val="5"/>
                <c:pt idx="0">
                  <c:v>4719</c:v>
                </c:pt>
                <c:pt idx="1">
                  <c:v>6144</c:v>
                </c:pt>
                <c:pt idx="2">
                  <c:v>#N/A</c:v>
                </c:pt>
                <c:pt idx="3">
                  <c:v>#N/A</c:v>
                </c:pt>
                <c:pt idx="4">
                  <c:v>#N/A</c:v>
                </c:pt>
              </c:numCache>
            </c:numRef>
          </c:val>
          <c:extLst>
            <c:ext xmlns:c16="http://schemas.microsoft.com/office/drawing/2014/chart" uri="{C3380CC4-5D6E-409C-BE32-E72D297353CC}">
              <c16:uniqueId val="{00000001-E5A8-42CA-A12E-2EF248BDB1BC}"/>
            </c:ext>
          </c:extLst>
        </c:ser>
        <c:dLbls>
          <c:showLegendKey val="0"/>
          <c:showVal val="0"/>
          <c:showCatName val="0"/>
          <c:showSerName val="0"/>
          <c:showPercent val="0"/>
          <c:showBubbleSize val="0"/>
        </c:dLbls>
        <c:gapWidth val="150"/>
        <c:shape val="box"/>
        <c:axId val="1321490736"/>
        <c:axId val="1321488336"/>
        <c:axId val="0"/>
      </c:bar3DChart>
      <c:catAx>
        <c:axId val="1321490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488336"/>
        <c:crosses val="autoZero"/>
        <c:auto val="1"/>
        <c:lblAlgn val="ctr"/>
        <c:lblOffset val="100"/>
        <c:noMultiLvlLbl val="0"/>
      </c:catAx>
      <c:valAx>
        <c:axId val="1321488336"/>
        <c:scaling>
          <c:orientation val="minMax"/>
        </c:scaling>
        <c:delete val="1"/>
        <c:axPos val="l"/>
        <c:numFmt formatCode="General" sourceLinked="1"/>
        <c:majorTickMark val="none"/>
        <c:minorTickMark val="none"/>
        <c:tickLblPos val="nextTo"/>
        <c:crossAx val="1321490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Week 3 Dataset.xlsx]Pivot Tabless!PivotTable3</c:name>
    <c:fmtId val="12"/>
  </c:pivotSource>
  <c:chart>
    <c:title>
      <c:tx>
        <c:rich>
          <a:bodyPr rot="0" spcFirstLastPara="1" vertOverflow="ellipsis" vert="horz" wrap="square" anchor="ctr" anchorCtr="1"/>
          <a:lstStyle/>
          <a:p>
            <a:pPr algn="ctr" rtl="0">
              <a:defRPr lang="en-US" sz="1600" b="1" i="1" u="sng" strike="noStrike" kern="1200" spc="0" baseline="0">
                <a:solidFill>
                  <a:sysClr val="windowText" lastClr="000000"/>
                </a:solidFill>
                <a:latin typeface="+mn-lt"/>
                <a:ea typeface="+mn-ea"/>
                <a:cs typeface="+mn-cs"/>
              </a:defRPr>
            </a:pPr>
            <a:r>
              <a:rPr lang="en-US" sz="1600" b="1" i="1" u="sng" strike="noStrike" kern="1200" spc="0" baseline="0">
                <a:solidFill>
                  <a:sysClr val="windowText" lastClr="000000"/>
                </a:solidFill>
                <a:latin typeface="+mn-lt"/>
                <a:ea typeface="+mn-ea"/>
                <a:cs typeface="+mn-cs"/>
              </a:rPr>
              <a:t>Delivery Status Analysis</a:t>
            </a:r>
          </a:p>
        </c:rich>
      </c:tx>
      <c:overlay val="0"/>
      <c:spPr>
        <a:noFill/>
        <a:ln>
          <a:noFill/>
        </a:ln>
        <a:effectLst/>
      </c:spPr>
      <c:txPr>
        <a:bodyPr rot="0" spcFirstLastPara="1" vertOverflow="ellipsis" vert="horz" wrap="square" anchor="ctr" anchorCtr="1"/>
        <a:lstStyle/>
        <a:p>
          <a:pPr algn="ctr" rtl="0">
            <a:defRPr lang="en-US" sz="1600" b="1" i="1"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dLbl>
          <c:idx val="0"/>
          <c:layout>
            <c:manualLayout>
              <c:x val="8.5613211521932644E-2"/>
              <c:y val="-6.3057337490814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Tabless'!$I$6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C76-419B-8E5B-423B7D7E955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76-419B-8E5B-423B7D7E955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C76-419B-8E5B-423B7D7E9555}"/>
              </c:ext>
            </c:extLst>
          </c:dPt>
          <c:dLbls>
            <c:dLbl>
              <c:idx val="1"/>
              <c:layout>
                <c:manualLayout>
                  <c:x val="8.5613211521932644E-2"/>
                  <c:y val="-6.3057337490814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C76-419B-8E5B-423B7D7E955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Tabless'!$H$7:$H$10</c:f>
              <c:strCache>
                <c:ptCount val="3"/>
                <c:pt idx="0">
                  <c:v>Cancelled</c:v>
                </c:pt>
                <c:pt idx="1">
                  <c:v>Delivered</c:v>
                </c:pt>
                <c:pt idx="2">
                  <c:v>In Transit</c:v>
                </c:pt>
              </c:strCache>
            </c:strRef>
          </c:cat>
          <c:val>
            <c:numRef>
              <c:f>'Pivot Tabless'!$I$7:$I$10</c:f>
              <c:numCache>
                <c:formatCode>General</c:formatCode>
                <c:ptCount val="3"/>
                <c:pt idx="0">
                  <c:v>30</c:v>
                </c:pt>
                <c:pt idx="1">
                  <c:v>34</c:v>
                </c:pt>
                <c:pt idx="2">
                  <c:v>36</c:v>
                </c:pt>
              </c:numCache>
            </c:numRef>
          </c:val>
          <c:extLst>
            <c:ext xmlns:c16="http://schemas.microsoft.com/office/drawing/2014/chart" uri="{C3380CC4-5D6E-409C-BE32-E72D297353CC}">
              <c16:uniqueId val="{00000006-EC76-419B-8E5B-423B7D7E955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
          <a:schemeClr val="bg1"/>
        </a:gs>
        <a:gs pos="74000">
          <a:schemeClr val="accent2">
            <a:lumMod val="45000"/>
            <a:lumOff val="55000"/>
          </a:schemeClr>
        </a:gs>
        <a:gs pos="39000">
          <a:schemeClr val="accent2">
            <a:lumMod val="45000"/>
            <a:lumOff val="55000"/>
          </a:schemeClr>
        </a:gs>
        <a:gs pos="100000">
          <a:schemeClr val="accent2">
            <a:lumMod val="30000"/>
            <a:lumOff val="70000"/>
          </a:schemeClr>
        </a:gs>
      </a:gsLst>
      <a:lin ang="5400000" scaled="1"/>
    </a:gradFill>
    <a:ln w="25400" cap="flat" cmpd="sng" algn="ctr">
      <a:solidFill>
        <a:schemeClr val="tx1"/>
      </a:solidFill>
      <a:round/>
    </a:ln>
    <a:effectLst>
      <a:glow rad="101600">
        <a:schemeClr val="bg1">
          <a:lumMod val="8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Week 3 Dataset.xlsx]Pivot Tabless!PivotTable4</c:name>
    <c:fmtId val="3"/>
  </c:pivotSource>
  <c:chart>
    <c:title>
      <c:tx>
        <c:rich>
          <a:bodyPr rot="0" spcFirstLastPara="1" vertOverflow="ellipsis" vert="horz" wrap="square" anchor="ctr" anchorCtr="1"/>
          <a:lstStyle/>
          <a:p>
            <a:pPr algn="ctr" rtl="0">
              <a:defRPr lang="en-US" sz="1600" b="1" i="1" u="sng" strike="noStrike" kern="1200" spc="0" baseline="0">
                <a:solidFill>
                  <a:sysClr val="windowText" lastClr="000000"/>
                </a:solidFill>
                <a:latin typeface="+mn-lt"/>
                <a:ea typeface="+mn-ea"/>
                <a:cs typeface="+mn-cs"/>
              </a:defRPr>
            </a:pPr>
            <a:r>
              <a:rPr lang="en-US" sz="1600" b="1" i="1" u="sng" strike="noStrike" kern="1200" spc="0" baseline="0">
                <a:solidFill>
                  <a:sysClr val="windowText" lastClr="000000"/>
                </a:solidFill>
                <a:latin typeface="+mn-lt"/>
                <a:ea typeface="+mn-ea"/>
                <a:cs typeface="+mn-cs"/>
              </a:rPr>
              <a:t>Delivery Status</a:t>
            </a:r>
          </a:p>
        </c:rich>
      </c:tx>
      <c:overlay val="0"/>
      <c:spPr>
        <a:noFill/>
        <a:ln>
          <a:noFill/>
        </a:ln>
        <a:effectLst/>
      </c:spPr>
      <c:txPr>
        <a:bodyPr rot="0" spcFirstLastPara="1" vertOverflow="ellipsis" vert="horz" wrap="square" anchor="ctr" anchorCtr="1"/>
        <a:lstStyle/>
        <a:p>
          <a:pPr algn="ctr" rtl="0">
            <a:defRPr lang="en-US" sz="1600" b="1" i="1"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0"/>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842430466772366E-2"/>
          <c:y val="0.14669392731016767"/>
          <c:w val="0.8825412770132498"/>
          <c:h val="0.80204941124388351"/>
        </c:manualLayout>
      </c:layout>
      <c:bar3DChart>
        <c:barDir val="bar"/>
        <c:grouping val="clustered"/>
        <c:varyColors val="0"/>
        <c:ser>
          <c:idx val="0"/>
          <c:order val="0"/>
          <c:tx>
            <c:strRef>
              <c:f>'Pivot Tabless'!$C$16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0"/>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Tabless'!$B$17:$B$29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Tabless'!$C$17:$C$29</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extLst>
            <c:ext xmlns:c16="http://schemas.microsoft.com/office/drawing/2014/chart" uri="{C3380CC4-5D6E-409C-BE32-E72D297353CC}">
              <c16:uniqueId val="{00000000-490C-4F9F-9F6D-40A79AE79E88}"/>
            </c:ext>
          </c:extLst>
        </c:ser>
        <c:dLbls>
          <c:showLegendKey val="0"/>
          <c:showVal val="1"/>
          <c:showCatName val="0"/>
          <c:showSerName val="0"/>
          <c:showPercent val="0"/>
          <c:showBubbleSize val="0"/>
        </c:dLbls>
        <c:gapWidth val="150"/>
        <c:shape val="box"/>
        <c:axId val="224415887"/>
        <c:axId val="224416367"/>
        <c:axId val="0"/>
      </c:bar3DChart>
      <c:catAx>
        <c:axId val="22441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224416367"/>
        <c:crosses val="autoZero"/>
        <c:auto val="1"/>
        <c:lblAlgn val="ctr"/>
        <c:lblOffset val="100"/>
        <c:noMultiLvlLbl val="0"/>
      </c:catAx>
      <c:valAx>
        <c:axId val="224416367"/>
        <c:scaling>
          <c:orientation val="minMax"/>
        </c:scaling>
        <c:delete val="1"/>
        <c:axPos val="b"/>
        <c:numFmt formatCode="General" sourceLinked="1"/>
        <c:majorTickMark val="none"/>
        <c:minorTickMark val="none"/>
        <c:tickLblPos val="nextTo"/>
        <c:crossAx val="22441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25400" cap="flat" cmpd="sng" algn="ctr">
      <a:solidFill>
        <a:schemeClr val="tx1"/>
      </a:solidFill>
      <a:round/>
    </a:ln>
    <a:effectLst>
      <a:glow rad="101600">
        <a:schemeClr val="bg1">
          <a:lumMod val="75000"/>
          <a:alpha val="40000"/>
        </a:schemeClr>
      </a:glo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Week 3 Dataset.xlsx]Payment Wise sum of sales!PivotTable2</c:name>
    <c:fmtId val="41"/>
  </c:pivotSource>
  <c:chart>
    <c:title>
      <c:tx>
        <c:rich>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r>
              <a:rPr lang="en-US" b="1" i="1">
                <a:solidFill>
                  <a:sysClr val="windowText" lastClr="000000"/>
                </a:solidFill>
              </a:rPr>
              <a:t>Sales by Payment Method</a:t>
            </a:r>
          </a:p>
        </c:rich>
      </c:tx>
      <c:overlay val="0"/>
      <c:spPr>
        <a:noFill/>
        <a:ln>
          <a:noFill/>
        </a:ln>
        <a:effectLst/>
      </c:spPr>
      <c:txPr>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2288440167973218"/>
          <c:w val="1"/>
          <c:h val="0.76557030867071718"/>
        </c:manualLayout>
      </c:layout>
      <c:bar3DChart>
        <c:barDir val="col"/>
        <c:grouping val="clustered"/>
        <c:varyColors val="0"/>
        <c:ser>
          <c:idx val="0"/>
          <c:order val="0"/>
          <c:tx>
            <c:strRef>
              <c:f>'Payment Wise sum of sales'!$C$5</c:f>
              <c:strCache>
                <c:ptCount val="1"/>
                <c:pt idx="0">
                  <c:v>Sum of HIGH</c:v>
                </c:pt>
              </c:strCache>
            </c:strRef>
          </c:tx>
          <c:spPr>
            <a:solidFill>
              <a:schemeClr val="accent1"/>
            </a:solidFill>
            <a:ln>
              <a:noFill/>
            </a:ln>
            <a:effectLst/>
            <a:sp3d/>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'Payment Wise sum of sales'!$B$6:$B$11</c:f>
              <c:strCache>
                <c:ptCount val="5"/>
                <c:pt idx="0">
                  <c:v>Amazon Pay</c:v>
                </c:pt>
                <c:pt idx="1">
                  <c:v>Apple Pay</c:v>
                </c:pt>
                <c:pt idx="2">
                  <c:v>Credit Card</c:v>
                </c:pt>
                <c:pt idx="3">
                  <c:v>Debit Card</c:v>
                </c:pt>
                <c:pt idx="4">
                  <c:v>PayPal</c:v>
                </c:pt>
              </c:strCache>
            </c:strRef>
          </c:cat>
          <c:val>
            <c:numRef>
              <c:f>'Payment Wise sum of sales'!$C$6:$C$11</c:f>
              <c:numCache>
                <c:formatCode>General</c:formatCode>
                <c:ptCount val="5"/>
                <c:pt idx="0">
                  <c:v>#N/A</c:v>
                </c:pt>
                <c:pt idx="1">
                  <c:v>#N/A</c:v>
                </c:pt>
                <c:pt idx="2">
                  <c:v>9398</c:v>
                </c:pt>
                <c:pt idx="3">
                  <c:v>8348</c:v>
                </c:pt>
                <c:pt idx="4">
                  <c:v>6649</c:v>
                </c:pt>
              </c:numCache>
            </c:numRef>
          </c:val>
          <c:extLst>
            <c:ext xmlns:c16="http://schemas.microsoft.com/office/drawing/2014/chart" uri="{C3380CC4-5D6E-409C-BE32-E72D297353CC}">
              <c16:uniqueId val="{00000000-FD93-4304-A49E-3A70430DD8FF}"/>
            </c:ext>
          </c:extLst>
        </c:ser>
        <c:ser>
          <c:idx val="1"/>
          <c:order val="1"/>
          <c:tx>
            <c:strRef>
              <c:f>'Payment Wise sum of sales'!$D$5</c:f>
              <c:strCache>
                <c:ptCount val="1"/>
                <c:pt idx="0">
                  <c:v>Sum of Low</c:v>
                </c:pt>
              </c:strCache>
            </c:strRef>
          </c:tx>
          <c:spPr>
            <a:solidFill>
              <a:schemeClr val="accent2"/>
            </a:solidFill>
            <a:ln>
              <a:noFill/>
            </a:ln>
            <a:effectLst/>
            <a:sp3d/>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'Payment Wise sum of sales'!$B$6:$B$11</c:f>
              <c:strCache>
                <c:ptCount val="5"/>
                <c:pt idx="0">
                  <c:v>Amazon Pay</c:v>
                </c:pt>
                <c:pt idx="1">
                  <c:v>Apple Pay</c:v>
                </c:pt>
                <c:pt idx="2">
                  <c:v>Credit Card</c:v>
                </c:pt>
                <c:pt idx="3">
                  <c:v>Debit Card</c:v>
                </c:pt>
                <c:pt idx="4">
                  <c:v>PayPal</c:v>
                </c:pt>
              </c:strCache>
            </c:strRef>
          </c:cat>
          <c:val>
            <c:numRef>
              <c:f>'Payment Wise sum of sales'!$D$6:$D$11</c:f>
              <c:numCache>
                <c:formatCode>General</c:formatCode>
                <c:ptCount val="5"/>
                <c:pt idx="0">
                  <c:v>4719</c:v>
                </c:pt>
                <c:pt idx="1">
                  <c:v>6144</c:v>
                </c:pt>
                <c:pt idx="2">
                  <c:v>#N/A</c:v>
                </c:pt>
                <c:pt idx="3">
                  <c:v>#N/A</c:v>
                </c:pt>
                <c:pt idx="4">
                  <c:v>#N/A</c:v>
                </c:pt>
              </c:numCache>
            </c:numRef>
          </c:val>
          <c:extLst>
            <c:ext xmlns:c16="http://schemas.microsoft.com/office/drawing/2014/chart" uri="{C3380CC4-5D6E-409C-BE32-E72D297353CC}">
              <c16:uniqueId val="{00000001-FD93-4304-A49E-3A70430DD8FF}"/>
            </c:ext>
          </c:extLst>
        </c:ser>
        <c:dLbls>
          <c:showLegendKey val="0"/>
          <c:showVal val="0"/>
          <c:showCatName val="0"/>
          <c:showSerName val="0"/>
          <c:showPercent val="0"/>
          <c:showBubbleSize val="0"/>
        </c:dLbls>
        <c:gapWidth val="150"/>
        <c:shape val="box"/>
        <c:axId val="1321490736"/>
        <c:axId val="1321488336"/>
        <c:axId val="0"/>
      </c:bar3DChart>
      <c:catAx>
        <c:axId val="1321490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ln>
                  <a:noFill/>
                </a:ln>
                <a:solidFill>
                  <a:schemeClr val="tx1">
                    <a:lumMod val="75000"/>
                    <a:lumOff val="25000"/>
                  </a:schemeClr>
                </a:solidFill>
                <a:latin typeface="+mn-lt"/>
                <a:ea typeface="+mn-ea"/>
                <a:cs typeface="+mn-cs"/>
              </a:defRPr>
            </a:pPr>
            <a:endParaRPr lang="en-US"/>
          </a:p>
        </c:txPr>
        <c:crossAx val="1321488336"/>
        <c:crosses val="autoZero"/>
        <c:auto val="1"/>
        <c:lblAlgn val="ctr"/>
        <c:lblOffset val="100"/>
        <c:noMultiLvlLbl val="0"/>
      </c:catAx>
      <c:valAx>
        <c:axId val="1321488336"/>
        <c:scaling>
          <c:orientation val="minMax"/>
        </c:scaling>
        <c:delete val="1"/>
        <c:axPos val="l"/>
        <c:numFmt formatCode="General" sourceLinked="1"/>
        <c:majorTickMark val="none"/>
        <c:minorTickMark val="none"/>
        <c:tickLblPos val="nextTo"/>
        <c:crossAx val="1321490736"/>
        <c:crosses val="autoZero"/>
        <c:crossBetween val="between"/>
      </c:valAx>
      <c:spPr>
        <a:noFill/>
        <a:ln>
          <a:noFill/>
        </a:ln>
        <a:effectLst/>
      </c:spPr>
    </c:plotArea>
    <c:legend>
      <c:legendPos val="r"/>
      <c:layout>
        <c:manualLayout>
          <c:xMode val="edge"/>
          <c:yMode val="edge"/>
          <c:x val="5.0664258178494889E-2"/>
          <c:y val="0.18385988857560479"/>
          <c:w val="0.18060207879448076"/>
          <c:h val="0.18701202147836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65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Week 3 Dataset.xlsx]Region Wise Sum of Sales!PivotTable1</c:name>
    <c:fmtId val="46"/>
  </c:pivotSource>
  <c:chart>
    <c:title>
      <c:tx>
        <c:rich>
          <a:bodyPr rot="0" spcFirstLastPara="1" vertOverflow="ellipsis" vert="horz" wrap="square" anchor="ctr" anchorCtr="1"/>
          <a:lstStyle/>
          <a:p>
            <a:pPr algn="ctr" rtl="0">
              <a:defRPr lang="en-US" sz="1400" b="1" i="1" u="none" strike="noStrike" kern="1200" spc="0" baseline="0">
                <a:solidFill>
                  <a:sysClr val="windowText" lastClr="000000"/>
                </a:solidFill>
                <a:latin typeface="+mn-lt"/>
                <a:ea typeface="+mn-ea"/>
                <a:cs typeface="+mn-cs"/>
              </a:defRPr>
            </a:pPr>
            <a:r>
              <a:rPr lang="en-US" sz="1400" b="1" i="1" u="none" strike="noStrike" kern="1200" spc="0" baseline="0">
                <a:solidFill>
                  <a:sysClr val="windowText" lastClr="000000"/>
                </a:solidFill>
                <a:latin typeface="+mn-lt"/>
                <a:ea typeface="+mn-ea"/>
                <a:cs typeface="+mn-cs"/>
              </a:rPr>
              <a:t>Sales by region </a:t>
            </a:r>
          </a:p>
        </c:rich>
      </c:tx>
      <c:layout>
        <c:manualLayout>
          <c:xMode val="edge"/>
          <c:yMode val="edge"/>
          <c:x val="0.33732821488254633"/>
          <c:y val="0"/>
        </c:manualLayout>
      </c:layout>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4268576742338406E-2"/>
              <c:y val="1.1162826878946208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2.5017693897680729E-2"/>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6.094639739854342E-2"/>
              <c:y val="-8.2681662793782605E-3"/>
            </c:manualLayout>
          </c:layout>
          <c:spPr>
            <a:noFill/>
            <a:ln>
              <a:noFill/>
            </a:ln>
            <a:effectLst/>
          </c:spPr>
          <c:txPr>
            <a:bodyPr rot="0" spcFirstLastPara="1" vertOverflow="ellipsis" vert="horz" wrap="square" lIns="38100" tIns="19050" rIns="38100" bIns="19050" anchor="ctr" anchorCtr="1">
              <a:no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92543190227041"/>
                  <c:h val="6.0220526983234816E-2"/>
                </c:manualLayout>
              </c15:layout>
            </c:ext>
          </c:extLst>
        </c:dLbl>
      </c:pivotFmt>
      <c:pivotFmt>
        <c:idx val="12"/>
        <c:spPr>
          <a:solidFill>
            <a:schemeClr val="accent1"/>
          </a:solidFill>
          <a:ln>
            <a:noFill/>
          </a:ln>
          <a:effectLst/>
          <a:sp3d/>
        </c:spPr>
        <c:dLbl>
          <c:idx val="0"/>
          <c:layout>
            <c:manualLayout>
              <c:x val="-1.078474368171866E-2"/>
              <c:y val="5.5923767017548804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32473122640864"/>
                  <c:h val="7.8206529349134607E-2"/>
                </c:manualLayout>
              </c15:layout>
            </c:ext>
          </c:extLst>
        </c:dLbl>
      </c:pivotFmt>
      <c:pivotFmt>
        <c:idx val="13"/>
        <c:spPr>
          <a:solidFill>
            <a:schemeClr val="accent1"/>
          </a:solidFill>
          <a:ln>
            <a:noFill/>
          </a:ln>
          <a:effectLst/>
          <a:sp3d/>
        </c:spPr>
        <c:dLbl>
          <c:idx val="0"/>
          <c:layout>
            <c:manualLayout>
              <c:x val="2.8664677443381619E-2"/>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1.4350083218483724E-2"/>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5.0163185525917836E-2"/>
              <c:y val="-5.0310649772004689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6.5580684088290634E-17"/>
              <c:y val="5.5921565381116473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3912272714062909"/>
          <c:w val="1"/>
          <c:h val="0.72555677183737133"/>
        </c:manualLayout>
      </c:layout>
      <c:bar3DChart>
        <c:barDir val="col"/>
        <c:grouping val="clustered"/>
        <c:varyColors val="0"/>
        <c:ser>
          <c:idx val="0"/>
          <c:order val="0"/>
          <c:tx>
            <c:strRef>
              <c:f>'Region Wise Sum of Sales'!$C$3</c:f>
              <c:strCache>
                <c:ptCount val="1"/>
                <c:pt idx="0">
                  <c:v>Sum of Total Amount</c:v>
                </c:pt>
              </c:strCache>
            </c:strRef>
          </c:tx>
          <c:spPr>
            <a:solidFill>
              <a:schemeClr val="accent1"/>
            </a:solidFill>
            <a:ln>
              <a:noFill/>
            </a:ln>
            <a:effectLst/>
            <a:sp3d/>
          </c:spPr>
          <c:invertIfNegative val="0"/>
          <c:dPt>
            <c:idx val="2"/>
            <c:invertIfNegative val="0"/>
            <c:bubble3D val="0"/>
            <c:spPr>
              <a:solidFill>
                <a:schemeClr val="accent1"/>
              </a:solidFill>
              <a:ln>
                <a:noFill/>
              </a:ln>
              <a:effectLst/>
              <a:sp3d/>
            </c:spPr>
            <c:extLst>
              <c:ext xmlns:c16="http://schemas.microsoft.com/office/drawing/2014/chart" uri="{C3380CC4-5D6E-409C-BE32-E72D297353CC}">
                <c16:uniqueId val="{00000006-14BB-46C9-A41B-D8121CD5F4F4}"/>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8-14BB-46C9-A41B-D8121CD5F4F4}"/>
              </c:ext>
            </c:extLst>
          </c:dPt>
          <c:dLbls>
            <c:dLbl>
              <c:idx val="2"/>
              <c:layout>
                <c:manualLayout>
                  <c:x val="-1.078474368171866E-2"/>
                  <c:y val="5.5923767017548804E-3"/>
                </c:manualLayout>
              </c:layout>
              <c:showLegendKey val="0"/>
              <c:showVal val="1"/>
              <c:showCatName val="0"/>
              <c:showSerName val="0"/>
              <c:showPercent val="0"/>
              <c:showBubbleSize val="0"/>
              <c:extLst>
                <c:ext xmlns:c15="http://schemas.microsoft.com/office/drawing/2012/chart" uri="{CE6537A1-D6FC-4f65-9D91-7224C49458BB}">
                  <c15:layout>
                    <c:manualLayout>
                      <c:w val="0.11332473122640864"/>
                      <c:h val="7.8206529349134607E-2"/>
                    </c:manualLayout>
                  </c15:layout>
                </c:ext>
                <c:ext xmlns:c16="http://schemas.microsoft.com/office/drawing/2014/chart" uri="{C3380CC4-5D6E-409C-BE32-E72D297353CC}">
                  <c16:uniqueId val="{00000006-14BB-46C9-A41B-D8121CD5F4F4}"/>
                </c:ext>
              </c:extLst>
            </c:dLbl>
            <c:dLbl>
              <c:idx val="3"/>
              <c:layout>
                <c:manualLayout>
                  <c:x val="-1.435008321848372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BB-46C9-A41B-D8121CD5F4F4}"/>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Sum of Sales'!$B$4:$B$9</c:f>
              <c:strCache>
                <c:ptCount val="5"/>
                <c:pt idx="0">
                  <c:v>Central</c:v>
                </c:pt>
                <c:pt idx="1">
                  <c:v>East</c:v>
                </c:pt>
                <c:pt idx="2">
                  <c:v>North</c:v>
                </c:pt>
                <c:pt idx="3">
                  <c:v>South</c:v>
                </c:pt>
                <c:pt idx="4">
                  <c:v>West</c:v>
                </c:pt>
              </c:strCache>
            </c:strRef>
          </c:cat>
          <c:val>
            <c:numRef>
              <c:f>'Region Wise Sum of Sales'!$C$4:$C$9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14BB-46C9-A41B-D8121CD5F4F4}"/>
            </c:ext>
          </c:extLst>
        </c:ser>
        <c:ser>
          <c:idx val="1"/>
          <c:order val="1"/>
          <c:tx>
            <c:strRef>
              <c:f>'Region Wise Sum of Sales'!$D$3</c:f>
              <c:strCache>
                <c:ptCount val="1"/>
                <c:pt idx="0">
                  <c:v>Sum of High </c:v>
                </c:pt>
              </c:strCache>
            </c:strRef>
          </c:tx>
          <c:spPr>
            <a:solidFill>
              <a:schemeClr val="accent2"/>
            </a:solidFill>
            <a:ln>
              <a:noFill/>
            </a:ln>
            <a:effectLst/>
            <a:sp3d/>
          </c:spPr>
          <c:invertIfNegative val="0"/>
          <c:dPt>
            <c:idx val="2"/>
            <c:invertIfNegative val="0"/>
            <c:bubble3D val="0"/>
            <c:spPr>
              <a:solidFill>
                <a:schemeClr val="accent2"/>
              </a:solidFill>
              <a:ln>
                <a:noFill/>
              </a:ln>
              <a:effectLst/>
              <a:sp3d/>
            </c:spPr>
            <c:extLst>
              <c:ext xmlns:c16="http://schemas.microsoft.com/office/drawing/2014/chart" uri="{C3380CC4-5D6E-409C-BE32-E72D297353CC}">
                <c16:uniqueId val="{00000005-14BB-46C9-A41B-D8121CD5F4F4}"/>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7-14BB-46C9-A41B-D8121CD5F4F4}"/>
              </c:ext>
            </c:extLst>
          </c:dPt>
          <c:dPt>
            <c:idx val="4"/>
            <c:invertIfNegative val="0"/>
            <c:bubble3D val="0"/>
            <c:spPr>
              <a:solidFill>
                <a:schemeClr val="accent2"/>
              </a:solidFill>
              <a:ln>
                <a:noFill/>
              </a:ln>
              <a:effectLst/>
              <a:sp3d/>
            </c:spPr>
            <c:extLst>
              <c:ext xmlns:c16="http://schemas.microsoft.com/office/drawing/2014/chart" uri="{C3380CC4-5D6E-409C-BE32-E72D297353CC}">
                <c16:uniqueId val="{00000009-14BB-46C9-A41B-D8121CD5F4F4}"/>
              </c:ext>
            </c:extLst>
          </c:dPt>
          <c:dLbls>
            <c:dLbl>
              <c:idx val="2"/>
              <c:layout>
                <c:manualLayout>
                  <c:x val="6.094639739854342E-2"/>
                  <c:y val="-8.2681662793782605E-3"/>
                </c:manualLayout>
              </c:layout>
              <c:spPr>
                <a:noFill/>
                <a:ln>
                  <a:noFill/>
                </a:ln>
                <a:effectLst/>
              </c:spPr>
              <c:txPr>
                <a:bodyPr rot="0" spcFirstLastPara="1" vertOverflow="ellipsis" vert="horz" wrap="square" lIns="38100" tIns="19050" rIns="38100" bIns="19050" anchor="ctr" anchorCtr="1">
                  <a:no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92543190227041"/>
                      <c:h val="6.0220526983234816E-2"/>
                    </c:manualLayout>
                  </c15:layout>
                </c:ext>
                <c:ext xmlns:c16="http://schemas.microsoft.com/office/drawing/2014/chart" uri="{C3380CC4-5D6E-409C-BE32-E72D297353CC}">
                  <c16:uniqueId val="{00000005-14BB-46C9-A41B-D8121CD5F4F4}"/>
                </c:ext>
              </c:extLst>
            </c:dLbl>
            <c:dLbl>
              <c:idx val="3"/>
              <c:layout>
                <c:manualLayout>
                  <c:x val="2.866467744338161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BB-46C9-A41B-D8121CD5F4F4}"/>
                </c:ext>
              </c:extLst>
            </c:dLbl>
            <c:dLbl>
              <c:idx val="4"/>
              <c:layout>
                <c:manualLayout>
                  <c:x val="5.0163185525917836E-2"/>
                  <c:y val="-5.031064977200468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BB-46C9-A41B-D8121CD5F4F4}"/>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Sum of Sales'!$B$4:$B$9</c:f>
              <c:strCache>
                <c:ptCount val="5"/>
                <c:pt idx="0">
                  <c:v>Central</c:v>
                </c:pt>
                <c:pt idx="1">
                  <c:v>East</c:v>
                </c:pt>
                <c:pt idx="2">
                  <c:v>North</c:v>
                </c:pt>
                <c:pt idx="3">
                  <c:v>South</c:v>
                </c:pt>
                <c:pt idx="4">
                  <c:v>West</c:v>
                </c:pt>
              </c:strCache>
            </c:strRef>
          </c:cat>
          <c:val>
            <c:numRef>
              <c:f>'Region Wise Sum of Sales'!$D$4:$D$9</c:f>
              <c:numCache>
                <c:formatCode>General</c:formatCode>
                <c:ptCount val="5"/>
                <c:pt idx="0">
                  <c:v>#N/A</c:v>
                </c:pt>
                <c:pt idx="1">
                  <c:v>#N/A</c:v>
                </c:pt>
                <c:pt idx="2">
                  <c:v>10491</c:v>
                </c:pt>
                <c:pt idx="3">
                  <c:v>7317</c:v>
                </c:pt>
                <c:pt idx="4">
                  <c:v>8359</c:v>
                </c:pt>
              </c:numCache>
            </c:numRef>
          </c:val>
          <c:extLst>
            <c:ext xmlns:c16="http://schemas.microsoft.com/office/drawing/2014/chart" uri="{C3380CC4-5D6E-409C-BE32-E72D297353CC}">
              <c16:uniqueId val="{00000001-14BB-46C9-A41B-D8121CD5F4F4}"/>
            </c:ext>
          </c:extLst>
        </c:ser>
        <c:ser>
          <c:idx val="2"/>
          <c:order val="2"/>
          <c:tx>
            <c:strRef>
              <c:f>'Region Wise Sum of Sales'!$E$3</c:f>
              <c:strCache>
                <c:ptCount val="1"/>
                <c:pt idx="0">
                  <c:v>Sum of Low </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3-14BB-46C9-A41B-D8121CD5F4F4}"/>
              </c:ext>
            </c:extLst>
          </c:dPt>
          <c:dPt>
            <c:idx val="1"/>
            <c:invertIfNegative val="0"/>
            <c:bubble3D val="0"/>
            <c:extLst>
              <c:ext xmlns:c16="http://schemas.microsoft.com/office/drawing/2014/chart" uri="{C3380CC4-5D6E-409C-BE32-E72D297353CC}">
                <c16:uniqueId val="{00000004-14BB-46C9-A41B-D8121CD5F4F4}"/>
              </c:ext>
            </c:extLst>
          </c:dPt>
          <c:dPt>
            <c:idx val="2"/>
            <c:invertIfNegative val="0"/>
            <c:bubble3D val="0"/>
            <c:extLst>
              <c:ext xmlns:c16="http://schemas.microsoft.com/office/drawing/2014/chart" uri="{C3380CC4-5D6E-409C-BE32-E72D297353CC}">
                <c16:uniqueId val="{0000000A-14BB-46C9-A41B-D8121CD5F4F4}"/>
              </c:ext>
            </c:extLst>
          </c:dPt>
          <c:dLbls>
            <c:dLbl>
              <c:idx val="0"/>
              <c:layout>
                <c:manualLayout>
                  <c:x val="1.4268576742338406E-2"/>
                  <c:y val="1.11628268789462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BB-46C9-A41B-D8121CD5F4F4}"/>
                </c:ext>
              </c:extLst>
            </c:dLbl>
            <c:dLbl>
              <c:idx val="1"/>
              <c:layout>
                <c:manualLayout>
                  <c:x val="2.50176938976807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BB-46C9-A41B-D8121CD5F4F4}"/>
                </c:ext>
              </c:extLst>
            </c:dLbl>
            <c:dLbl>
              <c:idx val="2"/>
              <c:layout>
                <c:manualLayout>
                  <c:x val="-6.5580684088290634E-17"/>
                  <c:y val="5.59215653811164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4BB-46C9-A41B-D8121CD5F4F4}"/>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Sum of Sales'!$B$4:$B$9</c:f>
              <c:strCache>
                <c:ptCount val="5"/>
                <c:pt idx="0">
                  <c:v>Central</c:v>
                </c:pt>
                <c:pt idx="1">
                  <c:v>East</c:v>
                </c:pt>
                <c:pt idx="2">
                  <c:v>North</c:v>
                </c:pt>
                <c:pt idx="3">
                  <c:v>South</c:v>
                </c:pt>
                <c:pt idx="4">
                  <c:v>West</c:v>
                </c:pt>
              </c:strCache>
            </c:strRef>
          </c:cat>
          <c:val>
            <c:numRef>
              <c:f>'Region Wise Sum of Sales'!$E$4:$E$9</c:f>
              <c:numCache>
                <c:formatCode>General</c:formatCode>
                <c:ptCount val="5"/>
                <c:pt idx="0">
                  <c:v>5456</c:v>
                </c:pt>
                <c:pt idx="1">
                  <c:v>3635</c:v>
                </c:pt>
                <c:pt idx="2">
                  <c:v>#N/A</c:v>
                </c:pt>
                <c:pt idx="3">
                  <c:v>#N/A</c:v>
                </c:pt>
                <c:pt idx="4">
                  <c:v>#N/A</c:v>
                </c:pt>
              </c:numCache>
            </c:numRef>
          </c:val>
          <c:extLst>
            <c:ext xmlns:c16="http://schemas.microsoft.com/office/drawing/2014/chart" uri="{C3380CC4-5D6E-409C-BE32-E72D297353CC}">
              <c16:uniqueId val="{00000002-14BB-46C9-A41B-D8121CD5F4F4}"/>
            </c:ext>
          </c:extLst>
        </c:ser>
        <c:dLbls>
          <c:showLegendKey val="0"/>
          <c:showVal val="1"/>
          <c:showCatName val="0"/>
          <c:showSerName val="0"/>
          <c:showPercent val="0"/>
          <c:showBubbleSize val="0"/>
        </c:dLbls>
        <c:gapWidth val="150"/>
        <c:shape val="box"/>
        <c:axId val="1194185248"/>
        <c:axId val="1194195328"/>
        <c:axId val="0"/>
      </c:bar3DChart>
      <c:catAx>
        <c:axId val="119418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195328"/>
        <c:crosses val="autoZero"/>
        <c:auto val="1"/>
        <c:lblAlgn val="ctr"/>
        <c:lblOffset val="100"/>
        <c:noMultiLvlLbl val="0"/>
      </c:catAx>
      <c:valAx>
        <c:axId val="1194195328"/>
        <c:scaling>
          <c:orientation val="minMax"/>
        </c:scaling>
        <c:delete val="1"/>
        <c:axPos val="l"/>
        <c:numFmt formatCode="General" sourceLinked="1"/>
        <c:majorTickMark val="none"/>
        <c:minorTickMark val="none"/>
        <c:tickLblPos val="nextTo"/>
        <c:crossAx val="1194185248"/>
        <c:crosses val="autoZero"/>
        <c:crossBetween val="between"/>
      </c:valAx>
      <c:spPr>
        <a:noFill/>
        <a:ln>
          <a:noFill/>
        </a:ln>
        <a:effectLst/>
      </c:spPr>
    </c:plotArea>
    <c:legend>
      <c:legendPos val="t"/>
      <c:layout>
        <c:manualLayout>
          <c:xMode val="edge"/>
          <c:yMode val="edge"/>
          <c:x val="0.16445572238685652"/>
          <c:y val="0.10116211177443969"/>
          <c:w val="0.66393421613371062"/>
          <c:h val="4.846902605768815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88000">
          <a:schemeClr val="bg1"/>
        </a:gs>
        <a:gs pos="20000">
          <a:srgbClr val="FDE9C3"/>
        </a:gs>
        <a:gs pos="2000">
          <a:schemeClr val="accent2">
            <a:lumMod val="40000"/>
            <a:lumOff val="60000"/>
          </a:schemeClr>
        </a:gs>
      </a:gsLst>
      <a:lin ang="16200000" scaled="1"/>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434340</xdr:colOff>
      <xdr:row>7</xdr:row>
      <xdr:rowOff>83820</xdr:rowOff>
    </xdr:from>
    <xdr:to>
      <xdr:col>13</xdr:col>
      <xdr:colOff>129540</xdr:colOff>
      <xdr:row>22</xdr:row>
      <xdr:rowOff>83820</xdr:rowOff>
    </xdr:to>
    <xdr:graphicFrame macro="">
      <xdr:nvGraphicFramePr>
        <xdr:cNvPr id="6" name="Chart 5">
          <a:extLst>
            <a:ext uri="{FF2B5EF4-FFF2-40B4-BE49-F238E27FC236}">
              <a16:creationId xmlns:a16="http://schemas.microsoft.com/office/drawing/2014/main" id="{594792A5-3B4E-8802-45E4-1038256D7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312420</xdr:colOff>
      <xdr:row>5</xdr:row>
      <xdr:rowOff>60960</xdr:rowOff>
    </xdr:from>
    <xdr:to>
      <xdr:col>13</xdr:col>
      <xdr:colOff>403860</xdr:colOff>
      <xdr:row>20</xdr:row>
      <xdr:rowOff>60960</xdr:rowOff>
    </xdr:to>
    <xdr:graphicFrame macro="">
      <xdr:nvGraphicFramePr>
        <xdr:cNvPr id="5" name="Chart 4">
          <a:extLst>
            <a:ext uri="{FF2B5EF4-FFF2-40B4-BE49-F238E27FC236}">
              <a16:creationId xmlns:a16="http://schemas.microsoft.com/office/drawing/2014/main" id="{A4494595-D853-82AE-0C1B-BB8F4920F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207787</xdr:colOff>
      <xdr:row>16</xdr:row>
      <xdr:rowOff>131022</xdr:rowOff>
    </xdr:from>
    <xdr:to>
      <xdr:col>9</xdr:col>
      <xdr:colOff>120713</xdr:colOff>
      <xdr:row>29</xdr:row>
      <xdr:rowOff>1167</xdr:rowOff>
    </xdr:to>
    <xdr:graphicFrame macro="">
      <xdr:nvGraphicFramePr>
        <xdr:cNvPr id="9" name="Chart 8">
          <a:extLst>
            <a:ext uri="{FF2B5EF4-FFF2-40B4-BE49-F238E27FC236}">
              <a16:creationId xmlns:a16="http://schemas.microsoft.com/office/drawing/2014/main" id="{D7ABAFE8-8A63-469A-B7FA-99331DE11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217393</xdr:colOff>
      <xdr:row>16</xdr:row>
      <xdr:rowOff>131022</xdr:rowOff>
    </xdr:from>
    <xdr:to>
      <xdr:col>16</xdr:col>
      <xdr:colOff>367368</xdr:colOff>
      <xdr:row>29</xdr:row>
      <xdr:rowOff>1167</xdr:rowOff>
    </xdr:to>
    <xdr:graphicFrame macro="">
      <xdr:nvGraphicFramePr>
        <xdr:cNvPr id="10" name="Chart 9">
          <a:extLst>
            <a:ext uri="{FF2B5EF4-FFF2-40B4-BE49-F238E27FC236}">
              <a16:creationId xmlns:a16="http://schemas.microsoft.com/office/drawing/2014/main" id="{5A9DC5EA-F3E5-4498-8463-6E96A40DA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444112</xdr:colOff>
      <xdr:row>3</xdr:row>
      <xdr:rowOff>151518</xdr:rowOff>
    </xdr:from>
    <xdr:to>
      <xdr:col>18</xdr:col>
      <xdr:colOff>595991</xdr:colOff>
      <xdr:row>8</xdr:row>
      <xdr:rowOff>128427</xdr:rowOff>
    </xdr:to>
    <xdr:sp macro="" textlink="">
      <xdr:nvSpPr>
        <xdr:cNvPr id="11" name="Rectangle: Rounded Corners 10">
          <a:extLst>
            <a:ext uri="{FF2B5EF4-FFF2-40B4-BE49-F238E27FC236}">
              <a16:creationId xmlns:a16="http://schemas.microsoft.com/office/drawing/2014/main" id="{836557B4-2CE2-D52E-96B8-09AABC80CDB6}"/>
            </a:ext>
          </a:extLst>
        </xdr:cNvPr>
        <xdr:cNvSpPr/>
      </xdr:nvSpPr>
      <xdr:spPr>
        <a:xfrm>
          <a:off x="10173082" y="705700"/>
          <a:ext cx="1368000" cy="900545"/>
        </a:xfrm>
        <a:prstGeom prst="roundRect">
          <a:avLst/>
        </a:prstGeom>
        <a:gradFill>
          <a:gsLst>
            <a:gs pos="15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effectLst>
          <a:glow rad="101600">
            <a:schemeClr val="bg1">
              <a:lumMod val="85000"/>
              <a:alpha val="40000"/>
            </a:schemeClr>
          </a:glow>
          <a:outerShdw blurRad="88900" dist="38100" dir="2700000" sx="99000" sy="99000" algn="t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1" u="sng" baseline="0">
              <a:solidFill>
                <a:sysClr val="windowText" lastClr="000000"/>
              </a:solidFill>
            </a:rPr>
            <a:t>Total Sales</a:t>
          </a:r>
          <a:endParaRPr lang="en-US" sz="1600" b="1" i="1" u="sng">
            <a:solidFill>
              <a:sysClr val="windowText" lastClr="000000"/>
            </a:solidFill>
          </a:endParaRPr>
        </a:p>
      </xdr:txBody>
    </xdr:sp>
    <xdr:clientData/>
  </xdr:twoCellAnchor>
  <xdr:twoCellAnchor>
    <xdr:from>
      <xdr:col>16</xdr:col>
      <xdr:colOff>444112</xdr:colOff>
      <xdr:row>10</xdr:row>
      <xdr:rowOff>108929</xdr:rowOff>
    </xdr:from>
    <xdr:to>
      <xdr:col>18</xdr:col>
      <xdr:colOff>595991</xdr:colOff>
      <xdr:row>15</xdr:row>
      <xdr:rowOff>85838</xdr:rowOff>
    </xdr:to>
    <xdr:sp macro="" textlink="">
      <xdr:nvSpPr>
        <xdr:cNvPr id="12" name="Rectangle: Rounded Corners 11">
          <a:extLst>
            <a:ext uri="{FF2B5EF4-FFF2-40B4-BE49-F238E27FC236}">
              <a16:creationId xmlns:a16="http://schemas.microsoft.com/office/drawing/2014/main" id="{F2E7EFF5-E3D7-4EC8-8C78-983523493217}"/>
            </a:ext>
          </a:extLst>
        </xdr:cNvPr>
        <xdr:cNvSpPr/>
      </xdr:nvSpPr>
      <xdr:spPr>
        <a:xfrm>
          <a:off x="10173082" y="1956202"/>
          <a:ext cx="1368000" cy="900545"/>
        </a:xfrm>
        <a:prstGeom prst="roundRect">
          <a:avLst/>
        </a:prstGeom>
        <a:gradFill>
          <a:gsLst>
            <a:gs pos="15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effectLst>
          <a:glow rad="101600">
            <a:schemeClr val="bg1">
              <a:lumMod val="85000"/>
              <a:alpha val="40000"/>
            </a:schemeClr>
          </a:glow>
          <a:outerShdw blurRad="88900" dist="38100" dir="2700000" sx="99000" sy="99000" algn="t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1" u="sng">
              <a:solidFill>
                <a:sysClr val="windowText" lastClr="000000"/>
              </a:solidFill>
            </a:rPr>
            <a:t>Total Orders</a:t>
          </a:r>
        </a:p>
      </xdr:txBody>
    </xdr:sp>
    <xdr:clientData/>
  </xdr:twoCellAnchor>
  <xdr:twoCellAnchor>
    <xdr:from>
      <xdr:col>16</xdr:col>
      <xdr:colOff>444112</xdr:colOff>
      <xdr:row>16</xdr:row>
      <xdr:rowOff>130850</xdr:rowOff>
    </xdr:from>
    <xdr:to>
      <xdr:col>18</xdr:col>
      <xdr:colOff>595991</xdr:colOff>
      <xdr:row>22</xdr:row>
      <xdr:rowOff>43250</xdr:rowOff>
    </xdr:to>
    <xdr:sp macro="" textlink="">
      <xdr:nvSpPr>
        <xdr:cNvPr id="13" name="Rectangle: Rounded Corners 12">
          <a:extLst>
            <a:ext uri="{FF2B5EF4-FFF2-40B4-BE49-F238E27FC236}">
              <a16:creationId xmlns:a16="http://schemas.microsoft.com/office/drawing/2014/main" id="{5402C52D-304A-47E1-A90F-A64FAB70AC97}"/>
            </a:ext>
          </a:extLst>
        </xdr:cNvPr>
        <xdr:cNvSpPr/>
      </xdr:nvSpPr>
      <xdr:spPr>
        <a:xfrm>
          <a:off x="10173082" y="3086486"/>
          <a:ext cx="1368000" cy="1020764"/>
        </a:xfrm>
        <a:prstGeom prst="roundRect">
          <a:avLst/>
        </a:prstGeom>
        <a:gradFill>
          <a:gsLst>
            <a:gs pos="15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effectLst>
          <a:glow rad="101600">
            <a:schemeClr val="bg1">
              <a:lumMod val="85000"/>
              <a:alpha val="40000"/>
            </a:schemeClr>
          </a:glow>
          <a:outerShdw blurRad="88900" dist="38100" dir="2700000" sx="99000" sy="99000" algn="t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1" u="sng" strike="noStrike" kern="0" cap="none" spc="0" normalizeH="0" baseline="0" noProof="0">
              <a:ln>
                <a:noFill/>
              </a:ln>
              <a:solidFill>
                <a:sysClr val="windowText" lastClr="000000"/>
              </a:solidFill>
              <a:effectLst/>
              <a:uLnTx/>
              <a:uFillTx/>
              <a:latin typeface="+mn-lt"/>
              <a:ea typeface="+mn-ea"/>
              <a:cs typeface="+mn-cs"/>
            </a:rPr>
            <a:t>Avg Delivery Time</a:t>
          </a:r>
          <a:endParaRPr lang="en-US" sz="1600"/>
        </a:p>
      </xdr:txBody>
    </xdr:sp>
    <xdr:clientData/>
  </xdr:twoCellAnchor>
  <xdr:twoCellAnchor>
    <xdr:from>
      <xdr:col>16</xdr:col>
      <xdr:colOff>444112</xdr:colOff>
      <xdr:row>24</xdr:row>
      <xdr:rowOff>23752</xdr:rowOff>
    </xdr:from>
    <xdr:to>
      <xdr:col>18</xdr:col>
      <xdr:colOff>595991</xdr:colOff>
      <xdr:row>29</xdr:row>
      <xdr:rowOff>661</xdr:rowOff>
    </xdr:to>
    <xdr:sp macro="" textlink="">
      <xdr:nvSpPr>
        <xdr:cNvPr id="14" name="Rectangle: Rounded Corners 13">
          <a:extLst>
            <a:ext uri="{FF2B5EF4-FFF2-40B4-BE49-F238E27FC236}">
              <a16:creationId xmlns:a16="http://schemas.microsoft.com/office/drawing/2014/main" id="{53AB44A9-2BD9-B1A8-E72B-6F516905A6F8}"/>
            </a:ext>
          </a:extLst>
        </xdr:cNvPr>
        <xdr:cNvSpPr/>
      </xdr:nvSpPr>
      <xdr:spPr>
        <a:xfrm>
          <a:off x="10173082" y="4457207"/>
          <a:ext cx="1368000" cy="900545"/>
        </a:xfrm>
        <a:prstGeom prst="roundRect">
          <a:avLst/>
        </a:prstGeom>
        <a:gradFill>
          <a:gsLst>
            <a:gs pos="15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effectLst>
          <a:glow rad="101600">
            <a:schemeClr val="bg1">
              <a:lumMod val="85000"/>
              <a:alpha val="40000"/>
            </a:schemeClr>
          </a:glow>
          <a:outerShdw blurRad="88900" dist="38100" dir="2700000" sx="99000" sy="99000" algn="t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1" u="sng">
              <a:solidFill>
                <a:sysClr val="windowText" lastClr="000000"/>
              </a:solidFill>
              <a:latin typeface="+mn-lt"/>
              <a:ea typeface="+mn-ea"/>
              <a:cs typeface="+mn-cs"/>
            </a:rPr>
            <a:t>% Delivered</a:t>
          </a:r>
        </a:p>
      </xdr:txBody>
    </xdr:sp>
    <xdr:clientData/>
  </xdr:twoCellAnchor>
  <xdr:twoCellAnchor>
    <xdr:from>
      <xdr:col>17</xdr:col>
      <xdr:colOff>8204</xdr:colOff>
      <xdr:row>5</xdr:row>
      <xdr:rowOff>153940</xdr:rowOff>
    </xdr:from>
    <xdr:to>
      <xdr:col>18</xdr:col>
      <xdr:colOff>423840</xdr:colOff>
      <xdr:row>7</xdr:row>
      <xdr:rowOff>169333</xdr:rowOff>
    </xdr:to>
    <xdr:sp macro="" textlink="'Pivot Tabless'!H14">
      <xdr:nvSpPr>
        <xdr:cNvPr id="15" name="TextBox 14">
          <a:extLst>
            <a:ext uri="{FF2B5EF4-FFF2-40B4-BE49-F238E27FC236}">
              <a16:creationId xmlns:a16="http://schemas.microsoft.com/office/drawing/2014/main" id="{C19E7737-4384-2D1C-6A8B-1ABBD307875E}"/>
            </a:ext>
          </a:extLst>
        </xdr:cNvPr>
        <xdr:cNvSpPr txBox="1"/>
      </xdr:nvSpPr>
      <xdr:spPr>
        <a:xfrm>
          <a:off x="10345234" y="1077576"/>
          <a:ext cx="1023697" cy="384848"/>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B384F9-81EC-4186-915D-0E2F71F75532}" type="TxLink">
            <a:rPr lang="en-US" sz="2000" b="0" i="0" u="none" strike="noStrike">
              <a:solidFill>
                <a:srgbClr val="000000"/>
              </a:solidFill>
              <a:latin typeface="Calibri"/>
              <a:ea typeface="Calibri"/>
              <a:cs typeface="Calibri"/>
            </a:rPr>
            <a:pPr algn="ctr"/>
            <a:t>35258</a:t>
          </a:fld>
          <a:endParaRPr lang="en-US" sz="2000"/>
        </a:p>
      </xdr:txBody>
    </xdr:sp>
    <xdr:clientData/>
  </xdr:twoCellAnchor>
  <xdr:twoCellAnchor>
    <xdr:from>
      <xdr:col>16</xdr:col>
      <xdr:colOff>591634</xdr:colOff>
      <xdr:row>12</xdr:row>
      <xdr:rowOff>98521</xdr:rowOff>
    </xdr:from>
    <xdr:to>
      <xdr:col>18</xdr:col>
      <xdr:colOff>399210</xdr:colOff>
      <xdr:row>14</xdr:row>
      <xdr:rowOff>113914</xdr:rowOff>
    </xdr:to>
    <xdr:sp macro="" textlink="'Pivot Tabless'!H18">
      <xdr:nvSpPr>
        <xdr:cNvPr id="16" name="TextBox 15">
          <a:extLst>
            <a:ext uri="{FF2B5EF4-FFF2-40B4-BE49-F238E27FC236}">
              <a16:creationId xmlns:a16="http://schemas.microsoft.com/office/drawing/2014/main" id="{C8C9B001-AA4A-4C00-9E88-E994847FF52A}"/>
            </a:ext>
          </a:extLst>
        </xdr:cNvPr>
        <xdr:cNvSpPr txBox="1"/>
      </xdr:nvSpPr>
      <xdr:spPr>
        <a:xfrm>
          <a:off x="10320604" y="2315248"/>
          <a:ext cx="1023697" cy="384848"/>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448F11-2CA4-4067-B9B8-B6BDCF9E2574}" type="TxLink">
            <a:rPr lang="en-US" sz="2000" b="0" i="0" u="none" strike="noStrike">
              <a:solidFill>
                <a:srgbClr val="000000"/>
              </a:solidFill>
              <a:latin typeface="Calibri"/>
              <a:ea typeface="Calibri"/>
              <a:cs typeface="Calibri"/>
            </a:rPr>
            <a:pPr marL="0" indent="0" algn="ctr"/>
            <a:t>100</a:t>
          </a:fld>
          <a:endParaRPr lang="en-US" sz="2000" b="0" i="0" u="none" strike="noStrike">
            <a:solidFill>
              <a:srgbClr val="000000"/>
            </a:solidFill>
            <a:latin typeface="Calibri"/>
            <a:ea typeface="Calibri"/>
            <a:cs typeface="Calibri"/>
          </a:endParaRPr>
        </a:p>
      </xdr:txBody>
    </xdr:sp>
    <xdr:clientData/>
  </xdr:twoCellAnchor>
  <xdr:twoCellAnchor>
    <xdr:from>
      <xdr:col>16</xdr:col>
      <xdr:colOff>597792</xdr:colOff>
      <xdr:row>19</xdr:row>
      <xdr:rowOff>135466</xdr:rowOff>
    </xdr:from>
    <xdr:to>
      <xdr:col>18</xdr:col>
      <xdr:colOff>405368</xdr:colOff>
      <xdr:row>21</xdr:row>
      <xdr:rowOff>150859</xdr:rowOff>
    </xdr:to>
    <xdr:sp macro="" textlink="'Pivot Tabless'!H22">
      <xdr:nvSpPr>
        <xdr:cNvPr id="17" name="TextBox 16">
          <a:extLst>
            <a:ext uri="{FF2B5EF4-FFF2-40B4-BE49-F238E27FC236}">
              <a16:creationId xmlns:a16="http://schemas.microsoft.com/office/drawing/2014/main" id="{A7CCED26-302F-47A6-8AC6-F9D9C9F5B9ED}"/>
            </a:ext>
          </a:extLst>
        </xdr:cNvPr>
        <xdr:cNvSpPr txBox="1"/>
      </xdr:nvSpPr>
      <xdr:spPr>
        <a:xfrm>
          <a:off x="10326762" y="3645284"/>
          <a:ext cx="1023697" cy="384848"/>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ACE25A-C370-418C-9074-7EF889FA5364}" type="TxLink">
            <a:rPr lang="en-US" sz="2000" b="0" i="0" u="none" strike="noStrike">
              <a:solidFill>
                <a:srgbClr val="000000"/>
              </a:solidFill>
              <a:latin typeface="Calibri"/>
              <a:ea typeface="Calibri"/>
              <a:cs typeface="Calibri"/>
            </a:rPr>
            <a:pPr marL="0" indent="0" algn="ctr"/>
            <a:t>3.76</a:t>
          </a:fld>
          <a:endParaRPr lang="en-US" sz="2000" b="0" i="0" u="none" strike="noStrike">
            <a:solidFill>
              <a:srgbClr val="000000"/>
            </a:solidFill>
            <a:latin typeface="Calibri"/>
            <a:ea typeface="Calibri"/>
            <a:cs typeface="Calibri"/>
          </a:endParaRPr>
        </a:p>
      </xdr:txBody>
    </xdr:sp>
    <xdr:clientData/>
  </xdr:twoCellAnchor>
  <xdr:twoCellAnchor>
    <xdr:from>
      <xdr:col>17</xdr:col>
      <xdr:colOff>8204</xdr:colOff>
      <xdr:row>26</xdr:row>
      <xdr:rowOff>3078</xdr:rowOff>
    </xdr:from>
    <xdr:to>
      <xdr:col>18</xdr:col>
      <xdr:colOff>423840</xdr:colOff>
      <xdr:row>28</xdr:row>
      <xdr:rowOff>18471</xdr:rowOff>
    </xdr:to>
    <xdr:sp macro="" textlink="'Pivot Tabless'!I27">
      <xdr:nvSpPr>
        <xdr:cNvPr id="18" name="TextBox 17">
          <a:extLst>
            <a:ext uri="{FF2B5EF4-FFF2-40B4-BE49-F238E27FC236}">
              <a16:creationId xmlns:a16="http://schemas.microsoft.com/office/drawing/2014/main" id="{9B177BDD-D6C4-B43B-CE35-B3B031C8DEFC}"/>
            </a:ext>
          </a:extLst>
        </xdr:cNvPr>
        <xdr:cNvSpPr txBox="1"/>
      </xdr:nvSpPr>
      <xdr:spPr>
        <a:xfrm>
          <a:off x="10345234" y="4805987"/>
          <a:ext cx="1023697" cy="384848"/>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341AB3-5F62-40BA-B889-B0C66DCF07D4}" type="TxLink">
            <a:rPr lang="en-US" sz="2000" b="0" i="0" u="none" strike="noStrike">
              <a:solidFill>
                <a:srgbClr val="000000"/>
              </a:solidFill>
              <a:latin typeface="Calibri"/>
              <a:ea typeface="Calibri"/>
              <a:cs typeface="Calibri"/>
            </a:rPr>
            <a:pPr marL="0" indent="0" algn="ctr"/>
            <a:t>34.00%</a:t>
          </a:fld>
          <a:endParaRPr lang="en-US" sz="2000" b="0" i="0" u="none" strike="noStrike">
            <a:solidFill>
              <a:srgbClr val="000000"/>
            </a:solidFill>
            <a:latin typeface="Calibri"/>
            <a:ea typeface="Calibri"/>
            <a:cs typeface="Calibri"/>
          </a:endParaRPr>
        </a:p>
      </xdr:txBody>
    </xdr:sp>
    <xdr:clientData/>
  </xdr:twoCellAnchor>
  <xdr:twoCellAnchor editAs="oneCell">
    <xdr:from>
      <xdr:col>0</xdr:col>
      <xdr:colOff>102870</xdr:colOff>
      <xdr:row>3</xdr:row>
      <xdr:rowOff>152401</xdr:rowOff>
    </xdr:from>
    <xdr:to>
      <xdr:col>3</xdr:col>
      <xdr:colOff>102870</xdr:colOff>
      <xdr:row>10</xdr:row>
      <xdr:rowOff>38101</xdr:rowOff>
    </xdr:to>
    <mc:AlternateContent xmlns:mc="http://schemas.openxmlformats.org/markup-compatibility/2006" xmlns:a14="http://schemas.microsoft.com/office/drawing/2010/main">
      <mc:Choice Requires="a14">
        <xdr:graphicFrame macro="">
          <xdr:nvGraphicFramePr>
            <xdr:cNvPr id="19" name="Delivery Status 1">
              <a:extLst>
                <a:ext uri="{FF2B5EF4-FFF2-40B4-BE49-F238E27FC236}">
                  <a16:creationId xmlns:a16="http://schemas.microsoft.com/office/drawing/2014/main" id="{86B3CB4F-5A98-4398-AD94-067B0BEF9CF2}"/>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02870" y="70104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102870</xdr:colOff>
      <xdr:row>10</xdr:row>
      <xdr:rowOff>38100</xdr:rowOff>
    </xdr:from>
    <xdr:to>
      <xdr:col>3</xdr:col>
      <xdr:colOff>102870</xdr:colOff>
      <xdr:row>19</xdr:row>
      <xdr:rowOff>137159</xdr:rowOff>
    </xdr:to>
    <mc:AlternateContent xmlns:mc="http://schemas.openxmlformats.org/markup-compatibility/2006" xmlns:a14="http://schemas.microsoft.com/office/drawing/2010/main">
      <mc:Choice Requires="a14">
        <xdr:graphicFrame macro="">
          <xdr:nvGraphicFramePr>
            <xdr:cNvPr id="21" name="Payment Method 1">
              <a:extLst>
                <a:ext uri="{FF2B5EF4-FFF2-40B4-BE49-F238E27FC236}">
                  <a16:creationId xmlns:a16="http://schemas.microsoft.com/office/drawing/2014/main" id="{5099EBC7-40D2-4426-9D43-CB5A2016AAD1}"/>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02870" y="1866900"/>
              <a:ext cx="1828800" cy="1744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102870</xdr:colOff>
      <xdr:row>19</xdr:row>
      <xdr:rowOff>121920</xdr:rowOff>
    </xdr:from>
    <xdr:to>
      <xdr:col>3</xdr:col>
      <xdr:colOff>102870</xdr:colOff>
      <xdr:row>29</xdr:row>
      <xdr:rowOff>7619</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11247C0B-043B-4C05-AB27-888859A3DAD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2870" y="3596640"/>
              <a:ext cx="182880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127326</xdr:colOff>
      <xdr:row>0</xdr:row>
      <xdr:rowOff>169332</xdr:rowOff>
    </xdr:from>
    <xdr:to>
      <xdr:col>10</xdr:col>
      <xdr:colOff>409266</xdr:colOff>
      <xdr:row>3</xdr:row>
      <xdr:rowOff>56790</xdr:rowOff>
    </xdr:to>
    <xdr:sp macro="" textlink="">
      <xdr:nvSpPr>
        <xdr:cNvPr id="25" name="Rectangle: Rounded Corners 24">
          <a:extLst>
            <a:ext uri="{FF2B5EF4-FFF2-40B4-BE49-F238E27FC236}">
              <a16:creationId xmlns:a16="http://schemas.microsoft.com/office/drawing/2014/main" id="{54860CA0-130A-4BF0-F8B9-077203253028}"/>
            </a:ext>
          </a:extLst>
        </xdr:cNvPr>
        <xdr:cNvSpPr/>
      </xdr:nvSpPr>
      <xdr:spPr>
        <a:xfrm>
          <a:off x="127326" y="169332"/>
          <a:ext cx="6403991" cy="434535"/>
        </a:xfrm>
        <a:prstGeom prst="roundRect">
          <a:avLst/>
        </a:prstGeom>
        <a:noFill/>
        <a:effectLst>
          <a:glow rad="38100">
            <a:schemeClr val="accent5">
              <a:lumMod val="60000"/>
              <a:lumOff val="40000"/>
              <a:alpha val="39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lt1"/>
            </a:solidFill>
          </a:endParaRPr>
        </a:p>
      </xdr:txBody>
    </xdr:sp>
    <xdr:clientData/>
  </xdr:twoCellAnchor>
  <xdr:twoCellAnchor>
    <xdr:from>
      <xdr:col>0</xdr:col>
      <xdr:colOff>156307</xdr:colOff>
      <xdr:row>1</xdr:row>
      <xdr:rowOff>26049</xdr:rowOff>
    </xdr:from>
    <xdr:to>
      <xdr:col>10</xdr:col>
      <xdr:colOff>384257</xdr:colOff>
      <xdr:row>2</xdr:row>
      <xdr:rowOff>178188</xdr:rowOff>
    </xdr:to>
    <xdr:sp macro="" textlink="">
      <xdr:nvSpPr>
        <xdr:cNvPr id="26" name="TextBox 25">
          <a:extLst>
            <a:ext uri="{FF2B5EF4-FFF2-40B4-BE49-F238E27FC236}">
              <a16:creationId xmlns:a16="http://schemas.microsoft.com/office/drawing/2014/main" id="{E4C82E4C-FBD8-E116-2B28-C82D125F7281}"/>
            </a:ext>
          </a:extLst>
        </xdr:cNvPr>
        <xdr:cNvSpPr txBox="1"/>
      </xdr:nvSpPr>
      <xdr:spPr>
        <a:xfrm>
          <a:off x="156307" y="208408"/>
          <a:ext cx="6350001" cy="334498"/>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0" i="0" u="none" strike="noStrike">
              <a:solidFill>
                <a:srgbClr val="000000"/>
              </a:solidFill>
              <a:latin typeface="Calibri"/>
              <a:ea typeface="Calibri"/>
              <a:cs typeface="Calibri"/>
            </a:rPr>
            <a:t>Sales &amp; Delivery Performance Dashboard</a:t>
          </a:r>
        </a:p>
      </xdr:txBody>
    </xdr:sp>
    <xdr:clientData/>
  </xdr:twoCellAnchor>
  <xdr:twoCellAnchor>
    <xdr:from>
      <xdr:col>9</xdr:col>
      <xdr:colOff>217886</xdr:colOff>
      <xdr:row>3</xdr:row>
      <xdr:rowOff>143345</xdr:rowOff>
    </xdr:from>
    <xdr:to>
      <xdr:col>16</xdr:col>
      <xdr:colOff>366874</xdr:colOff>
      <xdr:row>16</xdr:row>
      <xdr:rowOff>72427</xdr:rowOff>
    </xdr:to>
    <xdr:graphicFrame macro="">
      <xdr:nvGraphicFramePr>
        <xdr:cNvPr id="4" name="Chart 3">
          <a:extLst>
            <a:ext uri="{FF2B5EF4-FFF2-40B4-BE49-F238E27FC236}">
              <a16:creationId xmlns:a16="http://schemas.microsoft.com/office/drawing/2014/main" id="{2D9E2981-9946-4E5D-9DC9-CEAAD74EA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220834</xdr:colOff>
      <xdr:row>3</xdr:row>
      <xdr:rowOff>165980</xdr:rowOff>
    </xdr:from>
    <xdr:to>
      <xdr:col>9</xdr:col>
      <xdr:colOff>107666</xdr:colOff>
      <xdr:row>16</xdr:row>
      <xdr:rowOff>87518</xdr:rowOff>
    </xdr:to>
    <xdr:graphicFrame macro="">
      <xdr:nvGraphicFramePr>
        <xdr:cNvPr id="6" name="Chart 5">
          <a:extLst>
            <a:ext uri="{FF2B5EF4-FFF2-40B4-BE49-F238E27FC236}">
              <a16:creationId xmlns:a16="http://schemas.microsoft.com/office/drawing/2014/main" id="{952BFBAC-33F6-4F9B-9642-35CDC3C40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 refreshedDate="46077.84977847222" createdVersion="8" refreshedVersion="8" minRefreshableVersion="3" recordCount="100" xr:uid="{5E52926B-E098-4CB4-BC99-2FB7DB47CAA1}">
  <cacheSource type="worksheet">
    <worksheetSource ref="A1:P101" sheet="Orders"/>
  </cacheSource>
  <cacheFields count="16">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f Cancelled" numFmtId="0">
      <sharedItems/>
    </cacheField>
    <cacheField name="Product Category" numFmtId="0">
      <sharedItems count="5">
        <s v="Home"/>
        <s v="Toys"/>
        <s v="Fashion"/>
        <s v="Electronics"/>
        <s v="Books"/>
      </sharedItems>
    </cacheField>
    <cacheField name="average delivery time" numFmtId="0">
      <sharedItems containsMixedTypes="1"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 refreshedDate="46077.874189004629" createdVersion="8" refreshedVersion="8" minRefreshableVersion="3" recordCount="100" xr:uid="{6692F7AB-F012-429E-A785-FAAFEFA40F4E}">
  <cacheSource type="worksheet">
    <worksheetSource ref="A1:R101" sheet="Orders"/>
  </cacheSource>
  <cacheFields count="18">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f Cancelled" numFmtId="0">
      <sharedItems count="2">
        <s v="yes"/>
        <s v="No"/>
      </sharedItems>
    </cacheField>
    <cacheField name="Product Category" numFmtId="0">
      <sharedItems/>
    </cacheField>
    <cacheField name="average delivery time" numFmtId="0">
      <sharedItems containsMixedTypes="1" containsNumber="1" containsInteger="1" minValue="1" maxValue="7"/>
    </cacheField>
    <cacheField name="Customer Name" numFmtId="0">
      <sharedItems/>
    </cacheField>
    <cacheField name="Delivery performance" numFmtId="0">
      <sharedItems count="3">
        <s v="NA"/>
        <s v="Fast"/>
        <s v="Slow"/>
      </sharedItems>
    </cacheField>
  </cacheFields>
  <extLst>
    <ext xmlns:x14="http://schemas.microsoft.com/office/spreadsheetml/2009/9/main" uri="{725AE2AE-9491-48be-B2B4-4EB974FC3084}">
      <x14:pivotCacheDefinition pivotCacheId="20163457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 refreshedDate="46077.886119675924" createdVersion="8" refreshedVersion="8" minRefreshableVersion="3" recordCount="100" xr:uid="{C80AD90A-95C0-45F2-BB68-A632CA76B38A}">
  <cacheSource type="worksheet">
    <worksheetSource ref="A1:S101" sheet="Orders"/>
  </cacheSource>
  <cacheFields count="25">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f Cancelled" numFmtId="0">
      <sharedItems/>
    </cacheField>
    <cacheField name="Product Category" numFmtId="0">
      <sharedItems count="5">
        <s v="Home"/>
        <s v="Toys"/>
        <s v="Fashion"/>
        <s v="Electronics"/>
        <s v="Books"/>
      </sharedItems>
    </cacheField>
    <cacheField name="average delivery time" numFmtId="0">
      <sharedItems containsMixedTypes="1" containsNumber="1" containsInteger="1" minValue="1" maxValue="7"/>
    </cacheField>
    <cacheField name="Customer Name" numFmtId="0">
      <sharedItems/>
    </cacheField>
    <cacheField name="Delivery performance"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Days (Order Date)" numFmtId="0" databaseField="0">
      <fieldGroup base="10">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0">
        <rangePr groupBy="months" startDate="2023-01-07T00:00:00" endDate="2024-01-01T00:00:00"/>
        <groupItems count="14">
          <s v="&lt;07-01-2023"/>
          <s v="Jan"/>
          <s v="Feb"/>
          <s v="Mar"/>
          <s v="Apr"/>
          <s v="May"/>
          <s v="Jun"/>
          <s v="Jul"/>
          <s v="Aug"/>
          <s v="Sep"/>
          <s v="Oct"/>
          <s v="Nov"/>
          <s v="Dec"/>
          <s v="&gt;01-01-2024"/>
        </groupItems>
      </fieldGroup>
    </cacheField>
    <cacheField name="HIGH" numFmtId="0" formula="IF('Total Amount'&gt;6500,'Total Amount',NA())" databaseField="0"/>
    <cacheField name="Low" numFmtId="0" formula="IF('Total Amount'&lt;=6500,'Total Amount',NA())" databaseField="0"/>
    <cacheField name="High " numFmtId="0" formula="IF('Total Amount'&gt;7000,'Total Amount',NA())" databaseField="0"/>
    <cacheField name="Low " numFmtId="0" formula="IF('Total Amount'&lt;=7000,'Total Amount',NA())" databaseField="0"/>
  </cacheFields>
  <extLst>
    <ext xmlns:x14="http://schemas.microsoft.com/office/spreadsheetml/2009/9/main" uri="{725AE2AE-9491-48be-B2B4-4EB974FC3084}">
      <x14:pivotCacheDefinition pivotCacheId="2097332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x v="0"/>
    <x v="0"/>
    <s v="DHL"/>
    <d v="2023-12-31T00:00:00"/>
    <m/>
    <d v="2024-01-02T00:00:00"/>
    <s v="yes"/>
    <x v="0"/>
    <s v="NA"/>
  </r>
  <r>
    <s v="ORD0002"/>
    <s v="CUST029"/>
    <s v="PROD018"/>
    <x v="1"/>
    <n v="96"/>
    <n v="4"/>
    <n v="384"/>
    <x v="1"/>
    <x v="1"/>
    <s v="DHL"/>
    <d v="2023-02-22T00:00:00"/>
    <d v="2023-02-24T00:00:00"/>
    <m/>
    <s v="No"/>
    <x v="1"/>
    <n v="2"/>
  </r>
  <r>
    <s v="ORD0003"/>
    <s v="CUST021"/>
    <s v="PROD013"/>
    <x v="2"/>
    <n v="194"/>
    <n v="4"/>
    <n v="776"/>
    <x v="1"/>
    <x v="2"/>
    <s v="USPS"/>
    <d v="2023-10-11T00:00:00"/>
    <m/>
    <m/>
    <s v="No"/>
    <x v="0"/>
    <s v="NA"/>
  </r>
  <r>
    <s v="ORD0004"/>
    <s v="CUST044"/>
    <s v="PROD013"/>
    <x v="0"/>
    <n v="196"/>
    <n v="3"/>
    <n v="588"/>
    <x v="2"/>
    <x v="0"/>
    <s v="UPS"/>
    <d v="2023-05-05T00:00:00"/>
    <m/>
    <d v="2023-05-11T00:00:00"/>
    <s v="yes"/>
    <x v="0"/>
    <s v="NA"/>
  </r>
  <r>
    <s v="ORD0005"/>
    <s v="CUST027"/>
    <s v="PROD010"/>
    <x v="0"/>
    <n v="59"/>
    <n v="1"/>
    <n v="59"/>
    <x v="2"/>
    <x v="1"/>
    <s v="Amazon Logistics"/>
    <d v="2023-02-02T00:00:00"/>
    <d v="2023-02-05T00:00:00"/>
    <m/>
    <s v="No"/>
    <x v="2"/>
    <n v="3"/>
  </r>
  <r>
    <s v="ORD0006"/>
    <s v="CUST009"/>
    <s v="PROD010"/>
    <x v="0"/>
    <n v="58"/>
    <n v="4"/>
    <n v="232"/>
    <x v="3"/>
    <x v="0"/>
    <s v="DHL"/>
    <d v="2023-11-01T00:00:00"/>
    <m/>
    <d v="2023-11-02T00:00:00"/>
    <s v="yes"/>
    <x v="2"/>
    <s v="NA"/>
  </r>
  <r>
    <s v="ORD0007"/>
    <s v="CUST042"/>
    <s v="PROD020"/>
    <x v="3"/>
    <n v="105"/>
    <n v="3"/>
    <n v="315"/>
    <x v="4"/>
    <x v="0"/>
    <s v="DHL"/>
    <d v="2023-08-14T00:00:00"/>
    <m/>
    <d v="2023-08-18T00:00:00"/>
    <s v="yes"/>
    <x v="3"/>
    <s v="NA"/>
  </r>
  <r>
    <s v="ORD0008"/>
    <s v="CUST019"/>
    <s v="PROD021"/>
    <x v="4"/>
    <n v="37"/>
    <n v="5"/>
    <n v="185"/>
    <x v="2"/>
    <x v="0"/>
    <s v="DHL"/>
    <d v="2023-04-01T00:00:00"/>
    <m/>
    <d v="2023-04-06T00:00:00"/>
    <s v="yes"/>
    <x v="0"/>
    <s v="NA"/>
  </r>
  <r>
    <s v="ORD0009"/>
    <s v="CUST013"/>
    <s v="PROD019"/>
    <x v="3"/>
    <n v="44"/>
    <n v="2"/>
    <n v="88"/>
    <x v="1"/>
    <x v="2"/>
    <s v="Amazon Logistics"/>
    <d v="2023-07-21T00:00:00"/>
    <m/>
    <m/>
    <s v="No"/>
    <x v="2"/>
    <s v="NA"/>
  </r>
  <r>
    <s v="ORD0010"/>
    <s v="CUST019"/>
    <s v="PROD003"/>
    <x v="2"/>
    <n v="141"/>
    <n v="4"/>
    <n v="564"/>
    <x v="4"/>
    <x v="2"/>
    <s v="DHL"/>
    <d v="2023-12-29T00:00:00"/>
    <m/>
    <m/>
    <s v="No"/>
    <x v="0"/>
    <s v="NA"/>
  </r>
  <r>
    <s v="ORD0011"/>
    <s v="CUST046"/>
    <s v="PROD014"/>
    <x v="2"/>
    <n v="249"/>
    <n v="1"/>
    <n v="249"/>
    <x v="3"/>
    <x v="0"/>
    <s v="USPS"/>
    <d v="2023-05-04T00:00:00"/>
    <m/>
    <d v="2023-05-08T00:00:00"/>
    <s v="yes"/>
    <x v="3"/>
    <s v="NA"/>
  </r>
  <r>
    <s v="ORD0012"/>
    <s v="CUST045"/>
    <s v="PROD014"/>
    <x v="3"/>
    <n v="247"/>
    <n v="3"/>
    <n v="741"/>
    <x v="3"/>
    <x v="2"/>
    <s v="FedEx"/>
    <d v="2023-07-25T00:00:00"/>
    <m/>
    <m/>
    <s v="No"/>
    <x v="3"/>
    <s v="NA"/>
  </r>
  <r>
    <s v="ORD0013"/>
    <s v="CUST023"/>
    <s v="PROD006"/>
    <x v="3"/>
    <n v="96"/>
    <n v="1"/>
    <n v="96"/>
    <x v="0"/>
    <x v="0"/>
    <s v="Amazon Logistics"/>
    <d v="2023-02-25T00:00:00"/>
    <m/>
    <d v="2023-02-28T00:00:00"/>
    <s v="yes"/>
    <x v="2"/>
    <s v="NA"/>
  </r>
  <r>
    <s v="ORD0014"/>
    <s v="CUST033"/>
    <s v="PROD017"/>
    <x v="4"/>
    <n v="74"/>
    <n v="5"/>
    <n v="370"/>
    <x v="0"/>
    <x v="0"/>
    <s v="Amazon Logistics"/>
    <d v="2023-02-24T00:00:00"/>
    <m/>
    <d v="2023-02-25T00:00:00"/>
    <s v="yes"/>
    <x v="3"/>
    <s v="NA"/>
  </r>
  <r>
    <s v="ORD0015"/>
    <s v="CUST033"/>
    <s v="PROD005"/>
    <x v="2"/>
    <n v="27"/>
    <n v="1"/>
    <n v="27"/>
    <x v="1"/>
    <x v="0"/>
    <s v="Amazon Logistics"/>
    <d v="2023-08-26T00:00:00"/>
    <m/>
    <d v="2023-09-02T00:00:00"/>
    <s v="yes"/>
    <x v="2"/>
    <s v="NA"/>
  </r>
  <r>
    <s v="ORD0016"/>
    <s v="CUST047"/>
    <s v="PROD005"/>
    <x v="2"/>
    <n v="27"/>
    <n v="3"/>
    <n v="81"/>
    <x v="4"/>
    <x v="2"/>
    <s v="Amazon Logistics"/>
    <d v="2023-02-13T00:00:00"/>
    <m/>
    <m/>
    <s v="No"/>
    <x v="2"/>
    <s v="NA"/>
  </r>
  <r>
    <s v="ORD0017"/>
    <s v="CUST045"/>
    <s v="PROD015"/>
    <x v="1"/>
    <n v="21"/>
    <n v="3"/>
    <n v="63"/>
    <x v="1"/>
    <x v="1"/>
    <s v="DHL"/>
    <d v="2023-06-28T00:00:00"/>
    <d v="2023-07-01T00:00:00"/>
    <m/>
    <s v="No"/>
    <x v="4"/>
    <n v="3"/>
  </r>
  <r>
    <s v="ORD0018"/>
    <s v="CUST011"/>
    <s v="PROD008"/>
    <x v="4"/>
    <n v="70"/>
    <n v="5"/>
    <n v="350"/>
    <x v="2"/>
    <x v="2"/>
    <s v="Amazon Logistics"/>
    <d v="2023-11-28T00:00:00"/>
    <m/>
    <m/>
    <s v="No"/>
    <x v="4"/>
    <s v="NA"/>
  </r>
  <r>
    <s v="ORD0019"/>
    <s v="CUST041"/>
    <s v="PROD006"/>
    <x v="2"/>
    <n v="94"/>
    <n v="4"/>
    <n v="376"/>
    <x v="1"/>
    <x v="2"/>
    <s v="USPS"/>
    <d v="2023-08-25T00:00:00"/>
    <m/>
    <m/>
    <s v="No"/>
    <x v="2"/>
    <s v="NA"/>
  </r>
  <r>
    <s v="ORD0020"/>
    <s v="CUST025"/>
    <s v="PROD001"/>
    <x v="0"/>
    <n v="813"/>
    <n v="2"/>
    <n v="1626"/>
    <x v="1"/>
    <x v="2"/>
    <s v="FedEx"/>
    <d v="2023-04-12T00:00:00"/>
    <m/>
    <m/>
    <s v="No"/>
    <x v="3"/>
    <s v="NA"/>
  </r>
  <r>
    <s v="ORD0021"/>
    <s v="CUST013"/>
    <s v="PROD015"/>
    <x v="3"/>
    <n v="21"/>
    <n v="4"/>
    <n v="84"/>
    <x v="2"/>
    <x v="2"/>
    <s v="Amazon Logistics"/>
    <d v="2023-10-02T00:00:00"/>
    <m/>
    <m/>
    <s v="No"/>
    <x v="4"/>
    <s v="NA"/>
  </r>
  <r>
    <s v="ORD0022"/>
    <s v="CUST023"/>
    <s v="PROD012"/>
    <x v="4"/>
    <n v="46"/>
    <n v="5"/>
    <n v="230"/>
    <x v="2"/>
    <x v="2"/>
    <s v="USPS"/>
    <d v="2023-11-09T00:00:00"/>
    <m/>
    <m/>
    <s v="No"/>
    <x v="0"/>
    <s v="NA"/>
  </r>
  <r>
    <s v="ORD0023"/>
    <s v="CUST016"/>
    <s v="PROD010"/>
    <x v="4"/>
    <n v="58"/>
    <n v="3"/>
    <n v="174"/>
    <x v="3"/>
    <x v="0"/>
    <s v="Amazon Logistics"/>
    <d v="2023-02-13T00:00:00"/>
    <m/>
    <d v="2023-02-14T00:00:00"/>
    <s v="yes"/>
    <x v="2"/>
    <s v="NA"/>
  </r>
  <r>
    <s v="ORD0024"/>
    <s v="CUST028"/>
    <s v="PROD006"/>
    <x v="4"/>
    <n v="96"/>
    <n v="5"/>
    <n v="480"/>
    <x v="3"/>
    <x v="1"/>
    <s v="Amazon Logistics"/>
    <d v="2023-11-02T00:00:00"/>
    <d v="2023-11-05T00:00:00"/>
    <m/>
    <s v="No"/>
    <x v="2"/>
    <n v="3"/>
  </r>
  <r>
    <s v="ORD0025"/>
    <s v="CUST040"/>
    <s v="PROD002"/>
    <x v="2"/>
    <n v="43"/>
    <n v="1"/>
    <n v="43"/>
    <x v="4"/>
    <x v="1"/>
    <s v="Amazon Logistics"/>
    <d v="2023-05-28T00:00:00"/>
    <d v="2023-05-30T00:00:00"/>
    <m/>
    <s v="No"/>
    <x v="1"/>
    <n v="2"/>
  </r>
  <r>
    <s v="ORD0026"/>
    <s v="CUST027"/>
    <s v="PROD022"/>
    <x v="2"/>
    <n v="64"/>
    <n v="4"/>
    <n v="256"/>
    <x v="4"/>
    <x v="1"/>
    <s v="USPS"/>
    <d v="2023-10-15T00:00:00"/>
    <d v="2023-10-21T00:00:00"/>
    <m/>
    <s v="No"/>
    <x v="2"/>
    <n v="6"/>
  </r>
  <r>
    <s v="ORD0027"/>
    <s v="CUST018"/>
    <s v="PROD008"/>
    <x v="2"/>
    <n v="70"/>
    <n v="2"/>
    <n v="140"/>
    <x v="3"/>
    <x v="2"/>
    <s v="Amazon Logistics"/>
    <d v="2023-01-16T00:00:00"/>
    <m/>
    <m/>
    <s v="No"/>
    <x v="4"/>
    <s v="NA"/>
  </r>
  <r>
    <s v="ORD0028"/>
    <s v="CUST018"/>
    <s v="PROD018"/>
    <x v="3"/>
    <n v="97"/>
    <n v="3"/>
    <n v="291"/>
    <x v="1"/>
    <x v="2"/>
    <s v="Amazon Logistics"/>
    <d v="2023-10-09T00:00:00"/>
    <m/>
    <m/>
    <s v="No"/>
    <x v="1"/>
    <s v="NA"/>
  </r>
  <r>
    <s v="ORD0029"/>
    <s v="CUST007"/>
    <s v="PROD021"/>
    <x v="1"/>
    <n v="37"/>
    <n v="3"/>
    <n v="111"/>
    <x v="0"/>
    <x v="0"/>
    <s v="DHL"/>
    <d v="2023-10-07T00:00:00"/>
    <m/>
    <d v="2023-10-10T00:00:00"/>
    <s v="yes"/>
    <x v="0"/>
    <s v="NA"/>
  </r>
  <r>
    <s v="ORD0030"/>
    <s v="CUST008"/>
    <s v="PROD008"/>
    <x v="0"/>
    <n v="69"/>
    <n v="5"/>
    <n v="345"/>
    <x v="3"/>
    <x v="2"/>
    <s v="Amazon Logistics"/>
    <d v="2023-02-14T00:00:00"/>
    <m/>
    <m/>
    <s v="No"/>
    <x v="4"/>
    <s v="NA"/>
  </r>
  <r>
    <s v="ORD0031"/>
    <s v="CUST014"/>
    <s v="PROD002"/>
    <x v="0"/>
    <n v="42"/>
    <n v="5"/>
    <n v="210"/>
    <x v="3"/>
    <x v="2"/>
    <s v="UPS"/>
    <d v="2023-03-26T00:00:00"/>
    <m/>
    <m/>
    <s v="No"/>
    <x v="1"/>
    <s v="NA"/>
  </r>
  <r>
    <s v="ORD0032"/>
    <s v="CUST037"/>
    <s v="PROD009"/>
    <x v="1"/>
    <n v="11"/>
    <n v="5"/>
    <n v="55"/>
    <x v="4"/>
    <x v="0"/>
    <s v="FedEx"/>
    <d v="2023-06-15T00:00:00"/>
    <m/>
    <d v="2023-06-22T00:00:00"/>
    <s v="yes"/>
    <x v="4"/>
    <s v="NA"/>
  </r>
  <r>
    <s v="ORD0033"/>
    <s v="CUST016"/>
    <s v="PROD005"/>
    <x v="2"/>
    <n v="27"/>
    <n v="2"/>
    <n v="54"/>
    <x v="0"/>
    <x v="1"/>
    <s v="USPS"/>
    <d v="2023-05-22T00:00:00"/>
    <d v="2023-05-23T00:00:00"/>
    <m/>
    <s v="No"/>
    <x v="2"/>
    <n v="1"/>
  </r>
  <r>
    <s v="ORD0034"/>
    <s v="CUST025"/>
    <s v="PROD015"/>
    <x v="2"/>
    <n v="21"/>
    <n v="1"/>
    <n v="21"/>
    <x v="3"/>
    <x v="2"/>
    <s v="DHL"/>
    <d v="2023-11-20T00:00:00"/>
    <m/>
    <m/>
    <s v="No"/>
    <x v="4"/>
    <s v="NA"/>
  </r>
  <r>
    <s v="ORD0035"/>
    <s v="CUST032"/>
    <s v="PROD011"/>
    <x v="2"/>
    <n v="172"/>
    <n v="1"/>
    <n v="172"/>
    <x v="2"/>
    <x v="1"/>
    <s v="USPS"/>
    <d v="2023-12-22T00:00:00"/>
    <d v="2023-12-26T00:00:00"/>
    <m/>
    <s v="No"/>
    <x v="3"/>
    <n v="4"/>
  </r>
  <r>
    <s v="ORD0036"/>
    <s v="CUST014"/>
    <s v="PROD016"/>
    <x v="0"/>
    <n v="212"/>
    <n v="3"/>
    <n v="636"/>
    <x v="3"/>
    <x v="2"/>
    <s v="UPS"/>
    <d v="2023-07-23T00:00:00"/>
    <m/>
    <m/>
    <s v="No"/>
    <x v="0"/>
    <s v="NA"/>
  </r>
  <r>
    <s v="ORD0037"/>
    <s v="CUST044"/>
    <s v="PROD002"/>
    <x v="1"/>
    <n v="41"/>
    <n v="4"/>
    <n v="164"/>
    <x v="1"/>
    <x v="1"/>
    <s v="Amazon Logistics"/>
    <d v="2023-10-17T00:00:00"/>
    <d v="2023-10-22T00:00:00"/>
    <m/>
    <s v="No"/>
    <x v="1"/>
    <n v="5"/>
  </r>
  <r>
    <s v="ORD0038"/>
    <s v="CUST028"/>
    <s v="PROD007"/>
    <x v="0"/>
    <n v="32"/>
    <n v="2"/>
    <n v="64"/>
    <x v="4"/>
    <x v="0"/>
    <s v="FedEx"/>
    <d v="2023-08-22T00:00:00"/>
    <m/>
    <d v="2023-08-24T00:00:00"/>
    <s v="yes"/>
    <x v="1"/>
    <s v="NA"/>
  </r>
  <r>
    <s v="ORD0039"/>
    <s v="CUST024"/>
    <s v="PROD022"/>
    <x v="1"/>
    <n v="66"/>
    <n v="2"/>
    <n v="132"/>
    <x v="0"/>
    <x v="2"/>
    <s v="DHL"/>
    <d v="2023-12-02T00:00:00"/>
    <m/>
    <m/>
    <s v="No"/>
    <x v="2"/>
    <s v="NA"/>
  </r>
  <r>
    <s v="ORD0040"/>
    <s v="CUST006"/>
    <s v="PROD004"/>
    <x v="1"/>
    <n v="62"/>
    <n v="4"/>
    <n v="248"/>
    <x v="4"/>
    <x v="2"/>
    <s v="UPS"/>
    <d v="2023-12-25T00:00:00"/>
    <m/>
    <m/>
    <s v="No"/>
    <x v="1"/>
    <s v="NA"/>
  </r>
  <r>
    <s v="ORD0041"/>
    <s v="CUST001"/>
    <s v="PROD011"/>
    <x v="4"/>
    <n v="173"/>
    <n v="4"/>
    <n v="692"/>
    <x v="0"/>
    <x v="1"/>
    <s v="UPS"/>
    <d v="2023-09-23T00:00:00"/>
    <d v="2023-09-30T00:00:00"/>
    <m/>
    <s v="No"/>
    <x v="3"/>
    <n v="7"/>
  </r>
  <r>
    <s v="ORD0042"/>
    <s v="CUST007"/>
    <s v="PROD004"/>
    <x v="4"/>
    <n v="63"/>
    <n v="3"/>
    <n v="189"/>
    <x v="0"/>
    <x v="1"/>
    <s v="UPS"/>
    <d v="2023-07-16T00:00:00"/>
    <d v="2023-07-18T00:00:00"/>
    <m/>
    <s v="No"/>
    <x v="1"/>
    <n v="2"/>
  </r>
  <r>
    <s v="ORD0043"/>
    <s v="CUST040"/>
    <s v="PROD021"/>
    <x v="4"/>
    <n v="36"/>
    <n v="3"/>
    <n v="108"/>
    <x v="4"/>
    <x v="0"/>
    <s v="USPS"/>
    <d v="2023-02-05T00:00:00"/>
    <m/>
    <d v="2023-02-11T00:00:00"/>
    <s v="yes"/>
    <x v="0"/>
    <s v="NA"/>
  </r>
  <r>
    <s v="ORD0044"/>
    <s v="CUST006"/>
    <s v="PROD004"/>
    <x v="3"/>
    <n v="62"/>
    <n v="1"/>
    <n v="62"/>
    <x v="0"/>
    <x v="0"/>
    <s v="Amazon Logistics"/>
    <d v="2023-12-18T00:00:00"/>
    <m/>
    <d v="2023-12-23T00:00:00"/>
    <s v="yes"/>
    <x v="1"/>
    <s v="NA"/>
  </r>
  <r>
    <s v="ORD0045"/>
    <s v="CUST042"/>
    <s v="PROD003"/>
    <x v="3"/>
    <n v="137"/>
    <n v="5"/>
    <n v="685"/>
    <x v="3"/>
    <x v="0"/>
    <s v="FedEx"/>
    <d v="2023-06-11T00:00:00"/>
    <m/>
    <d v="2023-06-14T00:00:00"/>
    <s v="yes"/>
    <x v="0"/>
    <s v="NA"/>
  </r>
  <r>
    <s v="ORD0046"/>
    <s v="CUST039"/>
    <s v="PROD017"/>
    <x v="0"/>
    <n v="73"/>
    <n v="4"/>
    <n v="292"/>
    <x v="1"/>
    <x v="1"/>
    <s v="Amazon Logistics"/>
    <d v="2023-12-04T00:00:00"/>
    <d v="2023-12-08T00:00:00"/>
    <m/>
    <s v="No"/>
    <x v="3"/>
    <n v="4"/>
  </r>
  <r>
    <s v="ORD0047"/>
    <s v="CUST041"/>
    <s v="PROD020"/>
    <x v="0"/>
    <n v="104"/>
    <n v="1"/>
    <n v="104"/>
    <x v="2"/>
    <x v="1"/>
    <s v="Amazon Logistics"/>
    <d v="2023-07-17T00:00:00"/>
    <d v="2023-07-19T00:00:00"/>
    <m/>
    <s v="No"/>
    <x v="3"/>
    <n v="2"/>
  </r>
  <r>
    <s v="ORD0048"/>
    <s v="CUST044"/>
    <s v="PROD006"/>
    <x v="1"/>
    <n v="97"/>
    <n v="1"/>
    <n v="97"/>
    <x v="3"/>
    <x v="1"/>
    <s v="FedEx"/>
    <d v="2023-10-19T00:00:00"/>
    <d v="2023-10-24T00:00:00"/>
    <m/>
    <s v="No"/>
    <x v="2"/>
    <n v="5"/>
  </r>
  <r>
    <s v="ORD0049"/>
    <s v="CUST026"/>
    <s v="PROD017"/>
    <x v="2"/>
    <n v="73"/>
    <n v="5"/>
    <n v="365"/>
    <x v="0"/>
    <x v="2"/>
    <s v="Amazon Logistics"/>
    <d v="2023-05-15T00:00:00"/>
    <m/>
    <m/>
    <s v="No"/>
    <x v="3"/>
    <s v="NA"/>
  </r>
  <r>
    <s v="ORD0050"/>
    <s v="CUST040"/>
    <s v="PROD005"/>
    <x v="1"/>
    <n v="27"/>
    <n v="3"/>
    <n v="81"/>
    <x v="3"/>
    <x v="1"/>
    <s v="UPS"/>
    <d v="2023-02-12T00:00:00"/>
    <d v="2023-02-19T00:00:00"/>
    <m/>
    <s v="No"/>
    <x v="2"/>
    <n v="7"/>
  </r>
  <r>
    <s v="ORD0051"/>
    <s v="CUST041"/>
    <s v="PROD021"/>
    <x v="0"/>
    <n v="37"/>
    <n v="1"/>
    <n v="37"/>
    <x v="0"/>
    <x v="2"/>
    <s v="UPS"/>
    <d v="2023-10-02T00:00:00"/>
    <m/>
    <m/>
    <s v="No"/>
    <x v="0"/>
    <s v="NA"/>
  </r>
  <r>
    <s v="ORD0052"/>
    <s v="CUST008"/>
    <s v="PROD015"/>
    <x v="0"/>
    <n v="22"/>
    <n v="1"/>
    <n v="22"/>
    <x v="4"/>
    <x v="1"/>
    <s v="FedEx"/>
    <d v="2023-01-30T00:00:00"/>
    <d v="2023-02-01T00:00:00"/>
    <m/>
    <s v="No"/>
    <x v="4"/>
    <n v="2"/>
  </r>
  <r>
    <s v="ORD0053"/>
    <s v="CUST011"/>
    <s v="PROD016"/>
    <x v="3"/>
    <n v="218"/>
    <n v="5"/>
    <n v="1090"/>
    <x v="2"/>
    <x v="1"/>
    <s v="DHL"/>
    <d v="2023-12-29T00:00:00"/>
    <d v="2024-01-01T00:00:00"/>
    <m/>
    <s v="No"/>
    <x v="0"/>
    <n v="3"/>
  </r>
  <r>
    <s v="ORD0054"/>
    <s v="CUST018"/>
    <s v="PROD004"/>
    <x v="0"/>
    <n v="64"/>
    <n v="1"/>
    <n v="64"/>
    <x v="0"/>
    <x v="0"/>
    <s v="USPS"/>
    <d v="2023-03-06T00:00:00"/>
    <m/>
    <d v="2023-03-13T00:00:00"/>
    <s v="yes"/>
    <x v="1"/>
    <s v="NA"/>
  </r>
  <r>
    <s v="ORD0055"/>
    <s v="CUST037"/>
    <s v="PROD021"/>
    <x v="3"/>
    <n v="36"/>
    <n v="4"/>
    <n v="144"/>
    <x v="2"/>
    <x v="1"/>
    <s v="Amazon Logistics"/>
    <d v="2023-02-02T00:00:00"/>
    <d v="2023-02-06T00:00:00"/>
    <m/>
    <s v="No"/>
    <x v="0"/>
    <n v="4"/>
  </r>
  <r>
    <s v="ORD0056"/>
    <s v="CUST017"/>
    <s v="PROD004"/>
    <x v="4"/>
    <n v="65"/>
    <n v="1"/>
    <n v="65"/>
    <x v="3"/>
    <x v="1"/>
    <s v="FedEx"/>
    <d v="2023-10-18T00:00:00"/>
    <d v="2023-10-21T00:00:00"/>
    <m/>
    <s v="No"/>
    <x v="1"/>
    <n v="3"/>
  </r>
  <r>
    <s v="ORD0057"/>
    <s v="CUST025"/>
    <s v="PROD005"/>
    <x v="3"/>
    <n v="26"/>
    <n v="1"/>
    <n v="26"/>
    <x v="0"/>
    <x v="1"/>
    <s v="DHL"/>
    <d v="2023-01-07T00:00:00"/>
    <d v="2023-01-09T00:00:00"/>
    <m/>
    <s v="No"/>
    <x v="2"/>
    <n v="2"/>
  </r>
  <r>
    <s v="ORD0058"/>
    <s v="CUST021"/>
    <s v="PROD009"/>
    <x v="0"/>
    <n v="11"/>
    <n v="5"/>
    <n v="55"/>
    <x v="1"/>
    <x v="2"/>
    <s v="FedEx"/>
    <d v="2023-05-08T00:00:00"/>
    <m/>
    <m/>
    <s v="No"/>
    <x v="4"/>
    <s v="NA"/>
  </r>
  <r>
    <s v="ORD0059"/>
    <s v="CUST003"/>
    <s v="PROD013"/>
    <x v="0"/>
    <n v="195"/>
    <n v="4"/>
    <n v="780"/>
    <x v="2"/>
    <x v="0"/>
    <s v="FedEx"/>
    <d v="2023-04-02T00:00:00"/>
    <m/>
    <d v="2023-04-05T00:00:00"/>
    <s v="yes"/>
    <x v="0"/>
    <s v="NA"/>
  </r>
  <r>
    <s v="ORD0060"/>
    <s v="CUST019"/>
    <s v="PROD019"/>
    <x v="4"/>
    <n v="44"/>
    <n v="5"/>
    <n v="220"/>
    <x v="0"/>
    <x v="0"/>
    <s v="USPS"/>
    <d v="2023-10-11T00:00:00"/>
    <m/>
    <d v="2023-10-12T00:00:00"/>
    <s v="yes"/>
    <x v="2"/>
    <s v="NA"/>
  </r>
  <r>
    <s v="ORD0061"/>
    <s v="CUST035"/>
    <s v="PROD008"/>
    <x v="1"/>
    <n v="69"/>
    <n v="4"/>
    <n v="276"/>
    <x v="4"/>
    <x v="2"/>
    <s v="DHL"/>
    <d v="2023-09-10T00:00:00"/>
    <m/>
    <m/>
    <s v="No"/>
    <x v="4"/>
    <s v="NA"/>
  </r>
  <r>
    <s v="ORD0062"/>
    <s v="CUST022"/>
    <s v="PROD001"/>
    <x v="0"/>
    <n v="815"/>
    <n v="4"/>
    <n v="3260"/>
    <x v="1"/>
    <x v="1"/>
    <s v="USPS"/>
    <d v="2023-11-22T00:00:00"/>
    <d v="2023-11-29T00:00:00"/>
    <m/>
    <s v="No"/>
    <x v="3"/>
    <n v="7"/>
  </r>
  <r>
    <s v="ORD0063"/>
    <s v="CUST004"/>
    <s v="PROD005"/>
    <x v="1"/>
    <n v="27"/>
    <n v="1"/>
    <n v="27"/>
    <x v="4"/>
    <x v="2"/>
    <s v="Amazon Logistics"/>
    <d v="2023-05-02T00:00:00"/>
    <m/>
    <m/>
    <s v="No"/>
    <x v="2"/>
    <s v="NA"/>
  </r>
  <r>
    <s v="ORD0064"/>
    <s v="CUST048"/>
    <s v="PROD003"/>
    <x v="4"/>
    <n v="139"/>
    <n v="5"/>
    <n v="695"/>
    <x v="0"/>
    <x v="1"/>
    <s v="USPS"/>
    <d v="2023-12-25T00:00:00"/>
    <d v="2023-12-29T00:00:00"/>
    <m/>
    <s v="No"/>
    <x v="0"/>
    <n v="4"/>
  </r>
  <r>
    <s v="ORD0065"/>
    <s v="CUST009"/>
    <s v="PROD008"/>
    <x v="2"/>
    <n v="69"/>
    <n v="3"/>
    <n v="207"/>
    <x v="2"/>
    <x v="0"/>
    <s v="Amazon Logistics"/>
    <d v="2023-10-18T00:00:00"/>
    <m/>
    <d v="2023-10-20T00:00:00"/>
    <s v="yes"/>
    <x v="4"/>
    <s v="NA"/>
  </r>
  <r>
    <s v="ORD0066"/>
    <s v="CUST009"/>
    <s v="PROD019"/>
    <x v="4"/>
    <n v="42"/>
    <n v="1"/>
    <n v="42"/>
    <x v="0"/>
    <x v="0"/>
    <s v="DHL"/>
    <d v="2023-05-20T00:00:00"/>
    <m/>
    <d v="2023-05-21T00:00:00"/>
    <s v="yes"/>
    <x v="2"/>
    <s v="NA"/>
  </r>
  <r>
    <s v="ORD0067"/>
    <s v="CUST050"/>
    <s v="PROD007"/>
    <x v="0"/>
    <n v="31"/>
    <n v="4"/>
    <n v="124"/>
    <x v="1"/>
    <x v="1"/>
    <s v="UPS"/>
    <d v="2023-07-28T00:00:00"/>
    <d v="2023-07-30T00:00:00"/>
    <m/>
    <s v="No"/>
    <x v="1"/>
    <n v="2"/>
  </r>
  <r>
    <s v="ORD0068"/>
    <s v="CUST045"/>
    <s v="PROD020"/>
    <x v="4"/>
    <n v="104"/>
    <n v="3"/>
    <n v="312"/>
    <x v="1"/>
    <x v="2"/>
    <s v="UPS"/>
    <d v="2023-12-18T00:00:00"/>
    <m/>
    <m/>
    <s v="No"/>
    <x v="3"/>
    <s v="NA"/>
  </r>
  <r>
    <s v="ORD0069"/>
    <s v="CUST044"/>
    <s v="PROD010"/>
    <x v="1"/>
    <n v="58"/>
    <n v="2"/>
    <n v="116"/>
    <x v="0"/>
    <x v="0"/>
    <s v="USPS"/>
    <d v="2023-07-02T00:00:00"/>
    <m/>
    <d v="2023-07-07T00:00:00"/>
    <s v="yes"/>
    <x v="2"/>
    <s v="NA"/>
  </r>
  <r>
    <s v="ORD0070"/>
    <s v="CUST009"/>
    <s v="PROD004"/>
    <x v="4"/>
    <n v="62"/>
    <n v="2"/>
    <n v="124"/>
    <x v="4"/>
    <x v="0"/>
    <s v="DHL"/>
    <d v="2023-10-09T00:00:00"/>
    <m/>
    <d v="2023-10-10T00:00:00"/>
    <s v="yes"/>
    <x v="1"/>
    <s v="NA"/>
  </r>
  <r>
    <s v="ORD0071"/>
    <s v="CUST006"/>
    <s v="PROD019"/>
    <x v="1"/>
    <n v="43"/>
    <n v="1"/>
    <n v="43"/>
    <x v="1"/>
    <x v="1"/>
    <s v="Amazon Logistics"/>
    <d v="2023-12-18T00:00:00"/>
    <d v="2023-12-25T00:00:00"/>
    <m/>
    <s v="No"/>
    <x v="2"/>
    <n v="7"/>
  </r>
  <r>
    <s v="ORD0072"/>
    <s v="CUST022"/>
    <s v="PROD004"/>
    <x v="1"/>
    <n v="62"/>
    <n v="4"/>
    <n v="248"/>
    <x v="4"/>
    <x v="2"/>
    <s v="Amazon Logistics"/>
    <d v="2023-03-07T00:00:00"/>
    <m/>
    <m/>
    <s v="No"/>
    <x v="1"/>
    <s v="NA"/>
  </r>
  <r>
    <s v="ORD0073"/>
    <s v="CUST028"/>
    <s v="PROD006"/>
    <x v="0"/>
    <n v="95"/>
    <n v="2"/>
    <n v="190"/>
    <x v="2"/>
    <x v="0"/>
    <s v="UPS"/>
    <d v="2023-07-22T00:00:00"/>
    <m/>
    <d v="2023-07-25T00:00:00"/>
    <s v="yes"/>
    <x v="2"/>
    <s v="NA"/>
  </r>
  <r>
    <s v="ORD0074"/>
    <s v="CUST016"/>
    <s v="PROD021"/>
    <x v="3"/>
    <n v="36"/>
    <n v="4"/>
    <n v="144"/>
    <x v="0"/>
    <x v="1"/>
    <s v="FedEx"/>
    <d v="2023-01-18T00:00:00"/>
    <d v="2023-01-24T00:00:00"/>
    <m/>
    <s v="No"/>
    <x v="0"/>
    <n v="6"/>
  </r>
  <r>
    <s v="ORD0075"/>
    <s v="CUST042"/>
    <s v="PROD017"/>
    <x v="1"/>
    <n v="73"/>
    <n v="5"/>
    <n v="365"/>
    <x v="0"/>
    <x v="2"/>
    <s v="DHL"/>
    <d v="2023-05-24T00:00:00"/>
    <m/>
    <m/>
    <s v="No"/>
    <x v="3"/>
    <s v="NA"/>
  </r>
  <r>
    <s v="ORD0076"/>
    <s v="CUST023"/>
    <s v="PROD019"/>
    <x v="0"/>
    <n v="43"/>
    <n v="4"/>
    <n v="172"/>
    <x v="4"/>
    <x v="1"/>
    <s v="DHL"/>
    <d v="2023-09-03T00:00:00"/>
    <d v="2023-09-09T00:00:00"/>
    <m/>
    <s v="No"/>
    <x v="2"/>
    <n v="6"/>
  </r>
  <r>
    <s v="ORD0077"/>
    <s v="CUST004"/>
    <s v="PROD016"/>
    <x v="4"/>
    <n v="214"/>
    <n v="5"/>
    <n v="1070"/>
    <x v="4"/>
    <x v="1"/>
    <s v="UPS"/>
    <d v="2023-11-02T00:00:00"/>
    <d v="2023-11-04T00:00:00"/>
    <m/>
    <s v="No"/>
    <x v="0"/>
    <n v="2"/>
  </r>
  <r>
    <s v="ORD0078"/>
    <s v="CUST048"/>
    <s v="PROD002"/>
    <x v="3"/>
    <n v="42"/>
    <n v="2"/>
    <n v="84"/>
    <x v="0"/>
    <x v="0"/>
    <s v="UPS"/>
    <d v="2023-12-03T00:00:00"/>
    <m/>
    <d v="2023-12-06T00:00:00"/>
    <s v="yes"/>
    <x v="1"/>
    <s v="NA"/>
  </r>
  <r>
    <s v="ORD0079"/>
    <s v="CUST048"/>
    <s v="PROD012"/>
    <x v="0"/>
    <n v="46"/>
    <n v="1"/>
    <n v="46"/>
    <x v="3"/>
    <x v="2"/>
    <s v="UPS"/>
    <d v="2023-04-01T00:00:00"/>
    <m/>
    <m/>
    <s v="No"/>
    <x v="0"/>
    <s v="NA"/>
  </r>
  <r>
    <s v="ORD0080"/>
    <s v="CUST032"/>
    <s v="PROD018"/>
    <x v="1"/>
    <n v="95"/>
    <n v="4"/>
    <n v="380"/>
    <x v="1"/>
    <x v="1"/>
    <s v="UPS"/>
    <d v="2023-10-16T00:00:00"/>
    <d v="2023-10-19T00:00:00"/>
    <m/>
    <s v="No"/>
    <x v="1"/>
    <n v="3"/>
  </r>
  <r>
    <s v="ORD0081"/>
    <s v="CUST001"/>
    <s v="PROD011"/>
    <x v="4"/>
    <n v="174"/>
    <n v="2"/>
    <n v="348"/>
    <x v="2"/>
    <x v="2"/>
    <s v="UPS"/>
    <d v="2023-11-05T00:00:00"/>
    <m/>
    <m/>
    <s v="No"/>
    <x v="3"/>
    <s v="NA"/>
  </r>
  <r>
    <s v="ORD0082"/>
    <s v="CUST046"/>
    <s v="PROD005"/>
    <x v="0"/>
    <n v="27"/>
    <n v="5"/>
    <n v="135"/>
    <x v="1"/>
    <x v="0"/>
    <s v="Amazon Logistics"/>
    <d v="2023-06-15T00:00:00"/>
    <m/>
    <d v="2023-06-18T00:00:00"/>
    <s v="yes"/>
    <x v="2"/>
    <s v="NA"/>
  </r>
  <r>
    <s v="ORD0083"/>
    <s v="CUST021"/>
    <s v="PROD005"/>
    <x v="2"/>
    <n v="27"/>
    <n v="4"/>
    <n v="108"/>
    <x v="2"/>
    <x v="1"/>
    <s v="USPS"/>
    <d v="2023-10-28T00:00:00"/>
    <d v="2023-10-30T00:00:00"/>
    <m/>
    <s v="No"/>
    <x v="2"/>
    <n v="2"/>
  </r>
  <r>
    <s v="ORD0084"/>
    <s v="CUST015"/>
    <s v="PROD022"/>
    <x v="2"/>
    <n v="65"/>
    <n v="2"/>
    <n v="130"/>
    <x v="2"/>
    <x v="2"/>
    <s v="DHL"/>
    <d v="2023-12-22T00:00:00"/>
    <m/>
    <m/>
    <s v="No"/>
    <x v="2"/>
    <s v="NA"/>
  </r>
  <r>
    <s v="ORD0085"/>
    <s v="CUST045"/>
    <s v="PROD019"/>
    <x v="1"/>
    <n v="43"/>
    <n v="5"/>
    <n v="215"/>
    <x v="4"/>
    <x v="2"/>
    <s v="DHL"/>
    <d v="2023-03-07T00:00:00"/>
    <m/>
    <m/>
    <s v="No"/>
    <x v="2"/>
    <s v="NA"/>
  </r>
  <r>
    <s v="ORD0086"/>
    <s v="CUST007"/>
    <s v="PROD016"/>
    <x v="4"/>
    <n v="210"/>
    <n v="1"/>
    <n v="210"/>
    <x v="2"/>
    <x v="2"/>
    <s v="UPS"/>
    <d v="2023-11-10T00:00:00"/>
    <m/>
    <m/>
    <s v="No"/>
    <x v="0"/>
    <s v="NA"/>
  </r>
  <r>
    <s v="ORD0087"/>
    <s v="CUST043"/>
    <s v="PROD021"/>
    <x v="2"/>
    <n v="37"/>
    <n v="3"/>
    <n v="111"/>
    <x v="1"/>
    <x v="2"/>
    <s v="UPS"/>
    <d v="2023-11-22T00:00:00"/>
    <m/>
    <m/>
    <s v="No"/>
    <x v="0"/>
    <s v="NA"/>
  </r>
  <r>
    <s v="ORD0088"/>
    <s v="CUST007"/>
    <s v="PROD001"/>
    <x v="2"/>
    <n v="788"/>
    <n v="4"/>
    <n v="3152"/>
    <x v="4"/>
    <x v="2"/>
    <s v="Amazon Logistics"/>
    <d v="2023-05-08T00:00:00"/>
    <m/>
    <m/>
    <s v="No"/>
    <x v="3"/>
    <s v="NA"/>
  </r>
  <r>
    <s v="ORD0089"/>
    <s v="CUST007"/>
    <s v="PROD016"/>
    <x v="4"/>
    <n v="217"/>
    <n v="5"/>
    <n v="1085"/>
    <x v="4"/>
    <x v="2"/>
    <s v="FedEx"/>
    <d v="2023-07-13T00:00:00"/>
    <m/>
    <m/>
    <s v="No"/>
    <x v="0"/>
    <s v="NA"/>
  </r>
  <r>
    <s v="ORD0090"/>
    <s v="CUST007"/>
    <s v="PROD003"/>
    <x v="4"/>
    <n v="138"/>
    <n v="4"/>
    <n v="552"/>
    <x v="1"/>
    <x v="2"/>
    <s v="FedEx"/>
    <d v="2023-01-18T00:00:00"/>
    <m/>
    <m/>
    <s v="No"/>
    <x v="0"/>
    <s v="NA"/>
  </r>
  <r>
    <s v="ORD0091"/>
    <s v="CUST031"/>
    <s v="PROD001"/>
    <x v="3"/>
    <n v="803"/>
    <n v="2"/>
    <n v="1606"/>
    <x v="0"/>
    <x v="1"/>
    <s v="FedEx"/>
    <d v="2023-06-23T00:00:00"/>
    <d v="2023-06-29T00:00:00"/>
    <m/>
    <s v="No"/>
    <x v="3"/>
    <n v="6"/>
  </r>
  <r>
    <s v="ORD0092"/>
    <s v="CUST013"/>
    <s v="PROD014"/>
    <x v="0"/>
    <n v="248"/>
    <n v="5"/>
    <n v="1240"/>
    <x v="2"/>
    <x v="0"/>
    <s v="UPS"/>
    <d v="2023-02-21T00:00:00"/>
    <m/>
    <d v="2023-02-25T00:00:00"/>
    <s v="yes"/>
    <x v="3"/>
    <s v="NA"/>
  </r>
  <r>
    <s v="ORD0093"/>
    <s v="CUST036"/>
    <s v="PROD016"/>
    <x v="1"/>
    <n v="210"/>
    <n v="3"/>
    <n v="630"/>
    <x v="0"/>
    <x v="1"/>
    <s v="DHL"/>
    <d v="2023-02-19T00:00:00"/>
    <d v="2023-02-21T00:00:00"/>
    <m/>
    <s v="No"/>
    <x v="0"/>
    <n v="2"/>
  </r>
  <r>
    <s v="ORD0094"/>
    <s v="CUST013"/>
    <s v="PROD004"/>
    <x v="0"/>
    <n v="62"/>
    <n v="2"/>
    <n v="124"/>
    <x v="1"/>
    <x v="0"/>
    <s v="FedEx"/>
    <d v="2023-12-05T00:00:00"/>
    <m/>
    <d v="2023-12-12T00:00:00"/>
    <s v="yes"/>
    <x v="1"/>
    <s v="NA"/>
  </r>
  <r>
    <s v="ORD0095"/>
    <s v="CUST043"/>
    <s v="PROD009"/>
    <x v="2"/>
    <n v="11"/>
    <n v="5"/>
    <n v="55"/>
    <x v="4"/>
    <x v="0"/>
    <s v="Amazon Logistics"/>
    <d v="2023-06-07T00:00:00"/>
    <m/>
    <d v="2023-06-12T00:00:00"/>
    <s v="yes"/>
    <x v="4"/>
    <s v="NA"/>
  </r>
  <r>
    <s v="ORD0096"/>
    <s v="CUST017"/>
    <s v="PROD015"/>
    <x v="0"/>
    <n v="21"/>
    <n v="2"/>
    <n v="42"/>
    <x v="3"/>
    <x v="1"/>
    <s v="UPS"/>
    <d v="2023-07-09T00:00:00"/>
    <d v="2023-07-12T00:00:00"/>
    <m/>
    <s v="No"/>
    <x v="4"/>
    <n v="3"/>
  </r>
  <r>
    <s v="ORD0097"/>
    <s v="CUST023"/>
    <s v="PROD018"/>
    <x v="4"/>
    <n v="95"/>
    <n v="5"/>
    <n v="475"/>
    <x v="3"/>
    <x v="1"/>
    <s v="Amazon Logistics"/>
    <d v="2023-12-23T00:00:00"/>
    <d v="2023-12-26T00:00:00"/>
    <m/>
    <s v="No"/>
    <x v="1"/>
    <n v="3"/>
  </r>
  <r>
    <s v="ORD0098"/>
    <s v="CUST044"/>
    <s v="PROD016"/>
    <x v="2"/>
    <n v="215"/>
    <n v="2"/>
    <n v="430"/>
    <x v="2"/>
    <x v="1"/>
    <s v="Amazon Logistics"/>
    <d v="2023-09-25T00:00:00"/>
    <d v="2023-09-30T00:00:00"/>
    <m/>
    <s v="No"/>
    <x v="0"/>
    <n v="5"/>
  </r>
  <r>
    <s v="ORD0099"/>
    <s v="CUST034"/>
    <s v="PROD019"/>
    <x v="4"/>
    <n v="43"/>
    <n v="5"/>
    <n v="215"/>
    <x v="1"/>
    <x v="0"/>
    <s v="UPS"/>
    <d v="2023-01-18T00:00:00"/>
    <m/>
    <d v="2023-01-24T00:00:00"/>
    <s v="yes"/>
    <x v="2"/>
    <s v="NA"/>
  </r>
  <r>
    <s v="ORD0100"/>
    <s v="CUST009"/>
    <s v="PROD002"/>
    <x v="4"/>
    <n v="42"/>
    <n v="4"/>
    <n v="168"/>
    <x v="4"/>
    <x v="2"/>
    <s v="DHL"/>
    <d v="2023-03-27T00:00:00"/>
    <m/>
    <m/>
    <s v="No"/>
    <x v="1"/>
    <s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x v="0"/>
    <x v="0"/>
    <s v="DHL"/>
    <d v="2023-12-31T00:00:00"/>
    <m/>
    <d v="2024-01-02T00:00:00"/>
    <x v="0"/>
    <s v="Home"/>
    <s v="NA"/>
    <s v="Zoe Mitchell"/>
    <x v="0"/>
  </r>
  <r>
    <s v="ORD0002"/>
    <s v="CUST029"/>
    <s v="PROD018"/>
    <x v="1"/>
    <n v="96"/>
    <n v="4"/>
    <n v="384"/>
    <x v="1"/>
    <x v="1"/>
    <s v="DHL"/>
    <d v="2023-02-22T00:00:00"/>
    <d v="2023-02-24T00:00:00"/>
    <m/>
    <x v="1"/>
    <s v="Toys"/>
    <n v="2"/>
    <s v="Ava White"/>
    <x v="1"/>
  </r>
  <r>
    <s v="ORD0003"/>
    <s v="CUST021"/>
    <s v="PROD013"/>
    <x v="2"/>
    <n v="194"/>
    <n v="4"/>
    <n v="776"/>
    <x v="1"/>
    <x v="2"/>
    <s v="USPS"/>
    <d v="2023-10-11T00:00:00"/>
    <m/>
    <m/>
    <x v="1"/>
    <s v="Home"/>
    <s v="NA"/>
    <s v="Zoe Mitchell"/>
    <x v="0"/>
  </r>
  <r>
    <s v="ORD0004"/>
    <s v="CUST044"/>
    <s v="PROD013"/>
    <x v="0"/>
    <n v="196"/>
    <n v="3"/>
    <n v="588"/>
    <x v="2"/>
    <x v="0"/>
    <s v="UPS"/>
    <d v="2023-05-05T00:00:00"/>
    <m/>
    <d v="2023-05-11T00:00:00"/>
    <x v="0"/>
    <s v="Home"/>
    <s v="NA"/>
    <s v="Grace Ward"/>
    <x v="0"/>
  </r>
  <r>
    <s v="ORD0005"/>
    <s v="CUST027"/>
    <s v="PROD010"/>
    <x v="0"/>
    <n v="59"/>
    <n v="1"/>
    <n v="59"/>
    <x v="2"/>
    <x v="1"/>
    <s v="Amazon Logistics"/>
    <d v="2023-02-02T00:00:00"/>
    <d v="2023-02-05T00:00:00"/>
    <m/>
    <x v="1"/>
    <s v="Fashion"/>
    <n v="3"/>
    <s v="Hazel Brooks"/>
    <x v="2"/>
  </r>
  <r>
    <s v="ORD0006"/>
    <s v="CUST009"/>
    <s v="PROD010"/>
    <x v="0"/>
    <n v="58"/>
    <n v="4"/>
    <n v="232"/>
    <x v="3"/>
    <x v="0"/>
    <s v="DHL"/>
    <d v="2023-11-01T00:00:00"/>
    <m/>
    <d v="2023-11-02T00:00:00"/>
    <x v="0"/>
    <s v="Fashion"/>
    <s v="NA"/>
    <s v="Jackson Allen"/>
    <x v="0"/>
  </r>
  <r>
    <s v="ORD0007"/>
    <s v="CUST042"/>
    <s v="PROD020"/>
    <x v="3"/>
    <n v="105"/>
    <n v="3"/>
    <n v="315"/>
    <x v="4"/>
    <x v="0"/>
    <s v="DHL"/>
    <d v="2023-08-14T00:00:00"/>
    <m/>
    <d v="2023-08-18T00:00:00"/>
    <x v="0"/>
    <s v="Electronics"/>
    <s v="NA"/>
    <s v="Noah Wilson"/>
    <x v="0"/>
  </r>
  <r>
    <s v="ORD0008"/>
    <s v="CUST019"/>
    <s v="PROD021"/>
    <x v="4"/>
    <n v="37"/>
    <n v="5"/>
    <n v="185"/>
    <x v="2"/>
    <x v="0"/>
    <s v="DHL"/>
    <d v="2023-04-01T00:00:00"/>
    <m/>
    <d v="2023-04-06T00:00:00"/>
    <x v="0"/>
    <s v="Home"/>
    <s v="NA"/>
    <s v="Ava Robinson"/>
    <x v="0"/>
  </r>
  <r>
    <s v="ORD0009"/>
    <s v="CUST013"/>
    <s v="PROD019"/>
    <x v="3"/>
    <n v="44"/>
    <n v="2"/>
    <n v="88"/>
    <x v="1"/>
    <x v="2"/>
    <s v="Amazon Logistics"/>
    <d v="2023-07-21T00:00:00"/>
    <m/>
    <m/>
    <x v="1"/>
    <s v="Fashion"/>
    <s v="NA"/>
    <s v="Olivia Martinez"/>
    <x v="0"/>
  </r>
  <r>
    <s v="ORD0010"/>
    <s v="CUST019"/>
    <s v="PROD003"/>
    <x v="2"/>
    <n v="141"/>
    <n v="4"/>
    <n v="564"/>
    <x v="4"/>
    <x v="2"/>
    <s v="DHL"/>
    <d v="2023-12-29T00:00:00"/>
    <m/>
    <m/>
    <x v="1"/>
    <s v="Home"/>
    <s v="NA"/>
    <s v="Ava Robinson"/>
    <x v="0"/>
  </r>
  <r>
    <s v="ORD0011"/>
    <s v="CUST046"/>
    <s v="PROD014"/>
    <x v="2"/>
    <n v="249"/>
    <n v="1"/>
    <n v="249"/>
    <x v="3"/>
    <x v="0"/>
    <s v="USPS"/>
    <d v="2023-05-04T00:00:00"/>
    <m/>
    <d v="2023-05-08T00:00:00"/>
    <x v="0"/>
    <s v="Electronics"/>
    <s v="NA"/>
    <s v="Emily Johnson"/>
    <x v="0"/>
  </r>
  <r>
    <s v="ORD0012"/>
    <s v="CUST045"/>
    <s v="PROD014"/>
    <x v="3"/>
    <n v="247"/>
    <n v="3"/>
    <n v="741"/>
    <x v="3"/>
    <x v="2"/>
    <s v="FedEx"/>
    <d v="2023-07-25T00:00:00"/>
    <m/>
    <m/>
    <x v="1"/>
    <s v="Electronics"/>
    <s v="NA"/>
    <s v="Emily Johnson"/>
    <x v="0"/>
  </r>
  <r>
    <s v="ORD0013"/>
    <s v="CUST023"/>
    <s v="PROD006"/>
    <x v="3"/>
    <n v="96"/>
    <n v="1"/>
    <n v="96"/>
    <x v="0"/>
    <x v="0"/>
    <s v="Amazon Logistics"/>
    <d v="2023-02-25T00:00:00"/>
    <m/>
    <d v="2023-02-28T00:00:00"/>
    <x v="0"/>
    <s v="Fashion"/>
    <s v="NA"/>
    <s v="Charlotte Reed"/>
    <x v="0"/>
  </r>
  <r>
    <s v="ORD0014"/>
    <s v="CUST033"/>
    <s v="PROD017"/>
    <x v="4"/>
    <n v="74"/>
    <n v="5"/>
    <n v="370"/>
    <x v="0"/>
    <x v="0"/>
    <s v="Amazon Logistics"/>
    <d v="2023-02-24T00:00:00"/>
    <m/>
    <d v="2023-02-25T00:00:00"/>
    <x v="0"/>
    <s v="Electronics"/>
    <s v="NA"/>
    <s v="Hazel Rivera"/>
    <x v="0"/>
  </r>
  <r>
    <s v="ORD0015"/>
    <s v="CUST033"/>
    <s v="PROD005"/>
    <x v="2"/>
    <n v="27"/>
    <n v="1"/>
    <n v="27"/>
    <x v="1"/>
    <x v="0"/>
    <s v="Amazon Logistics"/>
    <d v="2023-08-26T00:00:00"/>
    <m/>
    <d v="2023-09-02T00:00:00"/>
    <x v="0"/>
    <s v="Fashion"/>
    <s v="NA"/>
    <s v="Hazel Rivera"/>
    <x v="0"/>
  </r>
  <r>
    <s v="ORD0016"/>
    <s v="CUST047"/>
    <s v="PROD005"/>
    <x v="2"/>
    <n v="27"/>
    <n v="3"/>
    <n v="81"/>
    <x v="4"/>
    <x v="2"/>
    <s v="Amazon Logistics"/>
    <d v="2023-02-13T00:00:00"/>
    <m/>
    <m/>
    <x v="1"/>
    <s v="Fashion"/>
    <s v="NA"/>
    <s v="Scarlett Murphy"/>
    <x v="0"/>
  </r>
  <r>
    <s v="ORD0017"/>
    <s v="CUST045"/>
    <s v="PROD015"/>
    <x v="1"/>
    <n v="21"/>
    <n v="3"/>
    <n v="63"/>
    <x v="1"/>
    <x v="1"/>
    <s v="DHL"/>
    <d v="2023-06-28T00:00:00"/>
    <d v="2023-07-01T00:00:00"/>
    <m/>
    <x v="1"/>
    <s v="Books"/>
    <n v="3"/>
    <s v="Emily Johnson"/>
    <x v="2"/>
  </r>
  <r>
    <s v="ORD0018"/>
    <s v="CUST011"/>
    <s v="PROD008"/>
    <x v="4"/>
    <n v="70"/>
    <n v="5"/>
    <n v="350"/>
    <x v="2"/>
    <x v="2"/>
    <s v="Amazon Logistics"/>
    <d v="2023-11-28T00:00:00"/>
    <m/>
    <m/>
    <x v="1"/>
    <s v="Books"/>
    <s v="NA"/>
    <s v="Mason Hall"/>
    <x v="0"/>
  </r>
  <r>
    <s v="ORD0019"/>
    <s v="CUST041"/>
    <s v="PROD006"/>
    <x v="2"/>
    <n v="94"/>
    <n v="4"/>
    <n v="376"/>
    <x v="1"/>
    <x v="2"/>
    <s v="USPS"/>
    <d v="2023-08-25T00:00:00"/>
    <m/>
    <m/>
    <x v="1"/>
    <s v="Fashion"/>
    <s v="NA"/>
    <s v="Jacob Price"/>
    <x v="0"/>
  </r>
  <r>
    <s v="ORD0020"/>
    <s v="CUST025"/>
    <s v="PROD001"/>
    <x v="0"/>
    <n v="813"/>
    <n v="2"/>
    <n v="1626"/>
    <x v="1"/>
    <x v="2"/>
    <s v="FedEx"/>
    <d v="2023-04-12T00:00:00"/>
    <m/>
    <m/>
    <x v="1"/>
    <s v="Electronics"/>
    <s v="NA"/>
    <s v="Emma King"/>
    <x v="0"/>
  </r>
  <r>
    <s v="ORD0021"/>
    <s v="CUST013"/>
    <s v="PROD015"/>
    <x v="3"/>
    <n v="21"/>
    <n v="4"/>
    <n v="84"/>
    <x v="2"/>
    <x v="2"/>
    <s v="Amazon Logistics"/>
    <d v="2023-10-02T00:00:00"/>
    <m/>
    <m/>
    <x v="1"/>
    <s v="Books"/>
    <s v="NA"/>
    <s v="Olivia Martinez"/>
    <x v="0"/>
  </r>
  <r>
    <s v="ORD0022"/>
    <s v="CUST023"/>
    <s v="PROD012"/>
    <x v="4"/>
    <n v="46"/>
    <n v="5"/>
    <n v="230"/>
    <x v="2"/>
    <x v="2"/>
    <s v="USPS"/>
    <d v="2023-11-09T00:00:00"/>
    <m/>
    <m/>
    <x v="1"/>
    <s v="Home"/>
    <s v="NA"/>
    <s v="Charlotte Reed"/>
    <x v="0"/>
  </r>
  <r>
    <s v="ORD0023"/>
    <s v="CUST016"/>
    <s v="PROD010"/>
    <x v="4"/>
    <n v="58"/>
    <n v="3"/>
    <n v="174"/>
    <x v="3"/>
    <x v="0"/>
    <s v="Amazon Logistics"/>
    <d v="2023-02-13T00:00:00"/>
    <m/>
    <d v="2023-02-14T00:00:00"/>
    <x v="0"/>
    <s v="Fashion"/>
    <s v="NA"/>
    <s v="Elijah Lewis"/>
    <x v="0"/>
  </r>
  <r>
    <s v="ORD0024"/>
    <s v="CUST028"/>
    <s v="PROD006"/>
    <x v="4"/>
    <n v="96"/>
    <n v="5"/>
    <n v="480"/>
    <x v="3"/>
    <x v="1"/>
    <s v="Amazon Logistics"/>
    <d v="2023-11-02T00:00:00"/>
    <d v="2023-11-05T00:00:00"/>
    <m/>
    <x v="1"/>
    <s v="Fashion"/>
    <n v="3"/>
    <s v="Lily Bennett"/>
    <x v="2"/>
  </r>
  <r>
    <s v="ORD0025"/>
    <s v="CUST040"/>
    <s v="PROD002"/>
    <x v="2"/>
    <n v="43"/>
    <n v="1"/>
    <n v="43"/>
    <x v="4"/>
    <x v="1"/>
    <s v="Amazon Logistics"/>
    <d v="2023-05-28T00:00:00"/>
    <d v="2023-05-30T00:00:00"/>
    <m/>
    <x v="1"/>
    <s v="Toys"/>
    <n v="2"/>
    <s v="Benjamin Clark"/>
    <x v="1"/>
  </r>
  <r>
    <s v="ORD0026"/>
    <s v="CUST027"/>
    <s v="PROD022"/>
    <x v="2"/>
    <n v="64"/>
    <n v="4"/>
    <n v="256"/>
    <x v="4"/>
    <x v="1"/>
    <s v="USPS"/>
    <d v="2023-10-15T00:00:00"/>
    <d v="2023-10-21T00:00:00"/>
    <m/>
    <x v="1"/>
    <s v="Fashion"/>
    <n v="6"/>
    <s v="Hazel Brooks"/>
    <x v="2"/>
  </r>
  <r>
    <s v="ORD0027"/>
    <s v="CUST018"/>
    <s v="PROD008"/>
    <x v="2"/>
    <n v="70"/>
    <n v="2"/>
    <n v="140"/>
    <x v="3"/>
    <x v="2"/>
    <s v="Amazon Logistics"/>
    <d v="2023-01-16T00:00:00"/>
    <m/>
    <m/>
    <x v="1"/>
    <s v="Books"/>
    <s v="NA"/>
    <s v="Grace Scott"/>
    <x v="0"/>
  </r>
  <r>
    <s v="ORD0028"/>
    <s v="CUST018"/>
    <s v="PROD018"/>
    <x v="3"/>
    <n v="97"/>
    <n v="3"/>
    <n v="291"/>
    <x v="1"/>
    <x v="2"/>
    <s v="Amazon Logistics"/>
    <d v="2023-10-09T00:00:00"/>
    <m/>
    <m/>
    <x v="1"/>
    <s v="Toys"/>
    <s v="NA"/>
    <s v="Grace Scott"/>
    <x v="0"/>
  </r>
  <r>
    <s v="ORD0029"/>
    <s v="CUST007"/>
    <s v="PROD021"/>
    <x v="1"/>
    <n v="37"/>
    <n v="3"/>
    <n v="111"/>
    <x v="0"/>
    <x v="0"/>
    <s v="DHL"/>
    <d v="2023-10-07T00:00:00"/>
    <m/>
    <d v="2023-10-10T00:00:00"/>
    <x v="0"/>
    <s v="Home"/>
    <s v="NA"/>
    <s v="Liam Walker"/>
    <x v="0"/>
  </r>
  <r>
    <s v="ORD0030"/>
    <s v="CUST008"/>
    <s v="PROD008"/>
    <x v="0"/>
    <n v="69"/>
    <n v="5"/>
    <n v="345"/>
    <x v="3"/>
    <x v="2"/>
    <s v="Amazon Logistics"/>
    <d v="2023-02-14T00:00:00"/>
    <m/>
    <m/>
    <x v="1"/>
    <s v="Books"/>
    <s v="NA"/>
    <s v="Harper Young"/>
    <x v="0"/>
  </r>
  <r>
    <s v="ORD0031"/>
    <s v="CUST014"/>
    <s v="PROD002"/>
    <x v="0"/>
    <n v="42"/>
    <n v="5"/>
    <n v="210"/>
    <x v="3"/>
    <x v="2"/>
    <s v="UPS"/>
    <d v="2023-03-26T00:00:00"/>
    <m/>
    <m/>
    <x v="1"/>
    <s v="Toys"/>
    <s v="NA"/>
    <s v="Harper Young"/>
    <x v="0"/>
  </r>
  <r>
    <s v="ORD0032"/>
    <s v="CUST037"/>
    <s v="PROD009"/>
    <x v="1"/>
    <n v="11"/>
    <n v="5"/>
    <n v="55"/>
    <x v="4"/>
    <x v="0"/>
    <s v="FedEx"/>
    <d v="2023-06-15T00:00:00"/>
    <m/>
    <d v="2023-06-22T00:00:00"/>
    <x v="0"/>
    <s v="Books"/>
    <s v="NA"/>
    <s v="Emily Johnson"/>
    <x v="0"/>
  </r>
  <r>
    <s v="ORD0033"/>
    <s v="CUST016"/>
    <s v="PROD005"/>
    <x v="2"/>
    <n v="27"/>
    <n v="2"/>
    <n v="54"/>
    <x v="0"/>
    <x v="1"/>
    <s v="USPS"/>
    <d v="2023-05-22T00:00:00"/>
    <d v="2023-05-23T00:00:00"/>
    <m/>
    <x v="1"/>
    <s v="Fashion"/>
    <n v="1"/>
    <s v="Elijah Lewis"/>
    <x v="1"/>
  </r>
  <r>
    <s v="ORD0034"/>
    <s v="CUST025"/>
    <s v="PROD015"/>
    <x v="2"/>
    <n v="21"/>
    <n v="1"/>
    <n v="21"/>
    <x v="3"/>
    <x v="2"/>
    <s v="DHL"/>
    <d v="2023-11-20T00:00:00"/>
    <m/>
    <m/>
    <x v="1"/>
    <s v="Books"/>
    <s v="NA"/>
    <s v="Emma King"/>
    <x v="0"/>
  </r>
  <r>
    <s v="ORD0035"/>
    <s v="CUST032"/>
    <s v="PROD011"/>
    <x v="2"/>
    <n v="172"/>
    <n v="1"/>
    <n v="172"/>
    <x v="2"/>
    <x v="1"/>
    <s v="USPS"/>
    <d v="2023-12-22T00:00:00"/>
    <d v="2023-12-26T00:00:00"/>
    <m/>
    <x v="1"/>
    <s v="Electronics"/>
    <n v="4"/>
    <s v="Luke Gray"/>
    <x v="2"/>
  </r>
  <r>
    <s v="ORD0036"/>
    <s v="CUST014"/>
    <s v="PROD016"/>
    <x v="0"/>
    <n v="212"/>
    <n v="3"/>
    <n v="636"/>
    <x v="3"/>
    <x v="2"/>
    <s v="UPS"/>
    <d v="2023-07-23T00:00:00"/>
    <m/>
    <m/>
    <x v="1"/>
    <s v="Home"/>
    <s v="NA"/>
    <s v="Harper Young"/>
    <x v="0"/>
  </r>
  <r>
    <s v="ORD0037"/>
    <s v="CUST044"/>
    <s v="PROD002"/>
    <x v="1"/>
    <n v="41"/>
    <n v="4"/>
    <n v="164"/>
    <x v="1"/>
    <x v="1"/>
    <s v="Amazon Logistics"/>
    <d v="2023-10-17T00:00:00"/>
    <d v="2023-10-22T00:00:00"/>
    <m/>
    <x v="1"/>
    <s v="Toys"/>
    <n v="5"/>
    <s v="Grace Ward"/>
    <x v="2"/>
  </r>
  <r>
    <s v="ORD0038"/>
    <s v="CUST028"/>
    <s v="PROD007"/>
    <x v="0"/>
    <n v="32"/>
    <n v="2"/>
    <n v="64"/>
    <x v="4"/>
    <x v="0"/>
    <s v="FedEx"/>
    <d v="2023-08-22T00:00:00"/>
    <m/>
    <d v="2023-08-24T00:00:00"/>
    <x v="0"/>
    <s v="Toys"/>
    <s v="NA"/>
    <s v="Lily Bennett"/>
    <x v="0"/>
  </r>
  <r>
    <s v="ORD0039"/>
    <s v="CUST024"/>
    <s v="PROD022"/>
    <x v="1"/>
    <n v="66"/>
    <n v="2"/>
    <n v="132"/>
    <x v="0"/>
    <x v="2"/>
    <s v="DHL"/>
    <d v="2023-12-02T00:00:00"/>
    <m/>
    <m/>
    <x v="1"/>
    <s v="Fashion"/>
    <s v="NA"/>
    <s v="Scarlett Murphy"/>
    <x v="0"/>
  </r>
  <r>
    <s v="ORD0040"/>
    <s v="CUST006"/>
    <s v="PROD004"/>
    <x v="1"/>
    <n v="62"/>
    <n v="4"/>
    <n v="248"/>
    <x v="4"/>
    <x v="2"/>
    <s v="UPS"/>
    <d v="2023-12-25T00:00:00"/>
    <m/>
    <m/>
    <x v="1"/>
    <s v="Toys"/>
    <s v="NA"/>
    <s v="Ava Robinson"/>
    <x v="0"/>
  </r>
  <r>
    <s v="ORD0041"/>
    <s v="CUST001"/>
    <s v="PROD011"/>
    <x v="4"/>
    <n v="173"/>
    <n v="4"/>
    <n v="692"/>
    <x v="0"/>
    <x v="1"/>
    <s v="UPS"/>
    <d v="2023-09-23T00:00:00"/>
    <d v="2023-09-30T00:00:00"/>
    <m/>
    <x v="1"/>
    <s v="Electronics"/>
    <n v="7"/>
    <s v="James Miller"/>
    <x v="2"/>
  </r>
  <r>
    <s v="ORD0042"/>
    <s v="CUST007"/>
    <s v="PROD004"/>
    <x v="4"/>
    <n v="63"/>
    <n v="3"/>
    <n v="189"/>
    <x v="0"/>
    <x v="1"/>
    <s v="UPS"/>
    <d v="2023-07-16T00:00:00"/>
    <d v="2023-07-18T00:00:00"/>
    <m/>
    <x v="1"/>
    <s v="Toys"/>
    <n v="2"/>
    <s v="Liam Walker"/>
    <x v="1"/>
  </r>
  <r>
    <s v="ORD0043"/>
    <s v="CUST040"/>
    <s v="PROD021"/>
    <x v="4"/>
    <n v="36"/>
    <n v="3"/>
    <n v="108"/>
    <x v="4"/>
    <x v="0"/>
    <s v="USPS"/>
    <d v="2023-02-05T00:00:00"/>
    <m/>
    <d v="2023-02-11T00:00:00"/>
    <x v="0"/>
    <s v="Home"/>
    <s v="NA"/>
    <s v="Benjamin Clark"/>
    <x v="0"/>
  </r>
  <r>
    <s v="ORD0044"/>
    <s v="CUST006"/>
    <s v="PROD004"/>
    <x v="3"/>
    <n v="62"/>
    <n v="1"/>
    <n v="62"/>
    <x v="0"/>
    <x v="0"/>
    <s v="Amazon Logistics"/>
    <d v="2023-12-18T00:00:00"/>
    <m/>
    <d v="2023-12-23T00:00:00"/>
    <x v="0"/>
    <s v="Toys"/>
    <s v="NA"/>
    <s v="Ava Robinson"/>
    <x v="0"/>
  </r>
  <r>
    <s v="ORD0045"/>
    <s v="CUST042"/>
    <s v="PROD003"/>
    <x v="3"/>
    <n v="137"/>
    <n v="5"/>
    <n v="685"/>
    <x v="3"/>
    <x v="0"/>
    <s v="FedEx"/>
    <d v="2023-06-11T00:00:00"/>
    <m/>
    <d v="2023-06-14T00:00:00"/>
    <x v="0"/>
    <s v="Home"/>
    <s v="NA"/>
    <s v="Noah Wilson"/>
    <x v="0"/>
  </r>
  <r>
    <s v="ORD0046"/>
    <s v="CUST039"/>
    <s v="PROD017"/>
    <x v="0"/>
    <n v="73"/>
    <n v="4"/>
    <n v="292"/>
    <x v="1"/>
    <x v="1"/>
    <s v="Amazon Logistics"/>
    <d v="2023-12-04T00:00:00"/>
    <d v="2023-12-08T00:00:00"/>
    <m/>
    <x v="1"/>
    <s v="Electronics"/>
    <n v="4"/>
    <s v="Logan Ramirez"/>
    <x v="2"/>
  </r>
  <r>
    <s v="ORD0047"/>
    <s v="CUST041"/>
    <s v="PROD020"/>
    <x v="0"/>
    <n v="104"/>
    <n v="1"/>
    <n v="104"/>
    <x v="2"/>
    <x v="1"/>
    <s v="Amazon Logistics"/>
    <d v="2023-07-17T00:00:00"/>
    <d v="2023-07-19T00:00:00"/>
    <m/>
    <x v="1"/>
    <s v="Electronics"/>
    <n v="2"/>
    <s v="Jacob Price"/>
    <x v="1"/>
  </r>
  <r>
    <s v="ORD0048"/>
    <s v="CUST044"/>
    <s v="PROD006"/>
    <x v="1"/>
    <n v="97"/>
    <n v="1"/>
    <n v="97"/>
    <x v="3"/>
    <x v="1"/>
    <s v="FedEx"/>
    <d v="2023-10-19T00:00:00"/>
    <d v="2023-10-24T00:00:00"/>
    <m/>
    <x v="1"/>
    <s v="Fashion"/>
    <n v="5"/>
    <s v="Grace Ward"/>
    <x v="2"/>
  </r>
  <r>
    <s v="ORD0049"/>
    <s v="CUST026"/>
    <s v="PROD017"/>
    <x v="2"/>
    <n v="73"/>
    <n v="5"/>
    <n v="365"/>
    <x v="0"/>
    <x v="2"/>
    <s v="Amazon Logistics"/>
    <d v="2023-05-15T00:00:00"/>
    <m/>
    <m/>
    <x v="1"/>
    <s v="Electronics"/>
    <s v="NA"/>
    <s v="Zoe Mitchell"/>
    <x v="0"/>
  </r>
  <r>
    <s v="ORD0050"/>
    <s v="CUST040"/>
    <s v="PROD005"/>
    <x v="1"/>
    <n v="27"/>
    <n v="3"/>
    <n v="81"/>
    <x v="3"/>
    <x v="1"/>
    <s v="UPS"/>
    <d v="2023-02-12T00:00:00"/>
    <d v="2023-02-19T00:00:00"/>
    <m/>
    <x v="1"/>
    <s v="Fashion"/>
    <n v="7"/>
    <s v="Benjamin Clark"/>
    <x v="2"/>
  </r>
  <r>
    <s v="ORD0051"/>
    <s v="CUST041"/>
    <s v="PROD021"/>
    <x v="0"/>
    <n v="37"/>
    <n v="1"/>
    <n v="37"/>
    <x v="0"/>
    <x v="2"/>
    <s v="UPS"/>
    <d v="2023-10-02T00:00:00"/>
    <m/>
    <m/>
    <x v="1"/>
    <s v="Home"/>
    <s v="NA"/>
    <s v="Jacob Price"/>
    <x v="0"/>
  </r>
  <r>
    <s v="ORD0052"/>
    <s v="CUST008"/>
    <s v="PROD015"/>
    <x v="0"/>
    <n v="22"/>
    <n v="1"/>
    <n v="22"/>
    <x v="4"/>
    <x v="1"/>
    <s v="FedEx"/>
    <d v="2023-01-30T00:00:00"/>
    <d v="2023-02-01T00:00:00"/>
    <m/>
    <x v="1"/>
    <s v="Books"/>
    <n v="2"/>
    <s v="Harper Young"/>
    <x v="1"/>
  </r>
  <r>
    <s v="ORD0053"/>
    <s v="CUST011"/>
    <s v="PROD016"/>
    <x v="3"/>
    <n v="218"/>
    <n v="5"/>
    <n v="1090"/>
    <x v="2"/>
    <x v="1"/>
    <s v="DHL"/>
    <d v="2023-12-29T00:00:00"/>
    <d v="2024-01-01T00:00:00"/>
    <m/>
    <x v="1"/>
    <s v="Home"/>
    <n v="3"/>
    <s v="Mason Hall"/>
    <x v="2"/>
  </r>
  <r>
    <s v="ORD0054"/>
    <s v="CUST018"/>
    <s v="PROD004"/>
    <x v="0"/>
    <n v="64"/>
    <n v="1"/>
    <n v="64"/>
    <x v="0"/>
    <x v="0"/>
    <s v="USPS"/>
    <d v="2023-03-06T00:00:00"/>
    <m/>
    <d v="2023-03-13T00:00:00"/>
    <x v="0"/>
    <s v="Toys"/>
    <s v="NA"/>
    <s v="Grace Scott"/>
    <x v="0"/>
  </r>
  <r>
    <s v="ORD0055"/>
    <s v="CUST037"/>
    <s v="PROD021"/>
    <x v="3"/>
    <n v="36"/>
    <n v="4"/>
    <n v="144"/>
    <x v="2"/>
    <x v="1"/>
    <s v="Amazon Logistics"/>
    <d v="2023-02-02T00:00:00"/>
    <d v="2023-02-06T00:00:00"/>
    <m/>
    <x v="1"/>
    <s v="Home"/>
    <n v="4"/>
    <s v="Emily Johnson"/>
    <x v="2"/>
  </r>
  <r>
    <s v="ORD0056"/>
    <s v="CUST017"/>
    <s v="PROD004"/>
    <x v="4"/>
    <n v="65"/>
    <n v="1"/>
    <n v="65"/>
    <x v="3"/>
    <x v="1"/>
    <s v="FedEx"/>
    <d v="2023-10-18T00:00:00"/>
    <d v="2023-10-21T00:00:00"/>
    <m/>
    <x v="1"/>
    <s v="Toys"/>
    <n v="3"/>
    <s v="Emma King"/>
    <x v="2"/>
  </r>
  <r>
    <s v="ORD0057"/>
    <s v="CUST025"/>
    <s v="PROD005"/>
    <x v="3"/>
    <n v="26"/>
    <n v="1"/>
    <n v="26"/>
    <x v="0"/>
    <x v="1"/>
    <s v="DHL"/>
    <d v="2023-01-07T00:00:00"/>
    <d v="2023-01-09T00:00:00"/>
    <m/>
    <x v="1"/>
    <s v="Fashion"/>
    <n v="2"/>
    <s v="Emma King"/>
    <x v="1"/>
  </r>
  <r>
    <s v="ORD0058"/>
    <s v="CUST021"/>
    <s v="PROD009"/>
    <x v="0"/>
    <n v="11"/>
    <n v="5"/>
    <n v="55"/>
    <x v="1"/>
    <x v="2"/>
    <s v="FedEx"/>
    <d v="2023-05-08T00:00:00"/>
    <m/>
    <m/>
    <x v="1"/>
    <s v="Books"/>
    <s v="NA"/>
    <s v="Zoe Mitchell"/>
    <x v="0"/>
  </r>
  <r>
    <s v="ORD0059"/>
    <s v="CUST003"/>
    <s v="PROD013"/>
    <x v="0"/>
    <n v="195"/>
    <n v="4"/>
    <n v="780"/>
    <x v="2"/>
    <x v="0"/>
    <s v="FedEx"/>
    <d v="2023-04-02T00:00:00"/>
    <m/>
    <d v="2023-04-05T00:00:00"/>
    <x v="0"/>
    <s v="Home"/>
    <s v="NA"/>
    <s v="Ethan Davis"/>
    <x v="0"/>
  </r>
  <r>
    <s v="ORD0060"/>
    <s v="CUST019"/>
    <s v="PROD019"/>
    <x v="4"/>
    <n v="44"/>
    <n v="5"/>
    <n v="220"/>
    <x v="0"/>
    <x v="0"/>
    <s v="USPS"/>
    <d v="2023-10-11T00:00:00"/>
    <m/>
    <d v="2023-10-12T00:00:00"/>
    <x v="0"/>
    <s v="Fashion"/>
    <s v="NA"/>
    <s v="Ava Robinson"/>
    <x v="0"/>
  </r>
  <r>
    <s v="ORD0061"/>
    <s v="CUST035"/>
    <s v="PROD008"/>
    <x v="1"/>
    <n v="69"/>
    <n v="4"/>
    <n v="276"/>
    <x v="4"/>
    <x v="2"/>
    <s v="DHL"/>
    <d v="2023-09-10T00:00:00"/>
    <m/>
    <m/>
    <x v="1"/>
    <s v="Books"/>
    <s v="NA"/>
    <s v="Scarlett Adams"/>
    <x v="0"/>
  </r>
  <r>
    <s v="ORD0062"/>
    <s v="CUST022"/>
    <s v="PROD001"/>
    <x v="0"/>
    <n v="815"/>
    <n v="4"/>
    <n v="3260"/>
    <x v="1"/>
    <x v="1"/>
    <s v="USPS"/>
    <d v="2023-11-22T00:00:00"/>
    <d v="2023-11-29T00:00:00"/>
    <m/>
    <x v="1"/>
    <s v="Electronics"/>
    <n v="7"/>
    <s v="Elijah Lewis"/>
    <x v="2"/>
  </r>
  <r>
    <s v="ORD0063"/>
    <s v="CUST004"/>
    <s v="PROD005"/>
    <x v="1"/>
    <n v="27"/>
    <n v="1"/>
    <n v="27"/>
    <x v="4"/>
    <x v="2"/>
    <s v="Amazon Logistics"/>
    <d v="2023-05-02T00:00:00"/>
    <m/>
    <m/>
    <x v="1"/>
    <s v="Fashion"/>
    <s v="NA"/>
    <s v="Noah Wilson"/>
    <x v="0"/>
  </r>
  <r>
    <s v="ORD0064"/>
    <s v="CUST048"/>
    <s v="PROD003"/>
    <x v="4"/>
    <n v="139"/>
    <n v="5"/>
    <n v="695"/>
    <x v="0"/>
    <x v="1"/>
    <s v="USPS"/>
    <d v="2023-12-25T00:00:00"/>
    <d v="2023-12-29T00:00:00"/>
    <m/>
    <x v="1"/>
    <s v="Home"/>
    <n v="4"/>
    <s v="Noah Wilson"/>
    <x v="2"/>
  </r>
  <r>
    <s v="ORD0065"/>
    <s v="CUST009"/>
    <s v="PROD008"/>
    <x v="2"/>
    <n v="69"/>
    <n v="3"/>
    <n v="207"/>
    <x v="2"/>
    <x v="0"/>
    <s v="Amazon Logistics"/>
    <d v="2023-10-18T00:00:00"/>
    <m/>
    <d v="2023-10-20T00:00:00"/>
    <x v="0"/>
    <s v="Books"/>
    <s v="NA"/>
    <s v="Jackson Allen"/>
    <x v="0"/>
  </r>
  <r>
    <s v="ORD0066"/>
    <s v="CUST009"/>
    <s v="PROD019"/>
    <x v="4"/>
    <n v="42"/>
    <n v="1"/>
    <n v="42"/>
    <x v="0"/>
    <x v="0"/>
    <s v="DHL"/>
    <d v="2023-05-20T00:00:00"/>
    <m/>
    <d v="2023-05-21T00:00:00"/>
    <x v="0"/>
    <s v="Fashion"/>
    <s v="NA"/>
    <s v="Jackson Allen"/>
    <x v="0"/>
  </r>
  <r>
    <s v="ORD0067"/>
    <s v="CUST050"/>
    <s v="PROD007"/>
    <x v="0"/>
    <n v="31"/>
    <n v="4"/>
    <n v="124"/>
    <x v="1"/>
    <x v="1"/>
    <s v="UPS"/>
    <d v="2023-07-28T00:00:00"/>
    <d v="2023-07-30T00:00:00"/>
    <m/>
    <x v="1"/>
    <s v="Toys"/>
    <n v="2"/>
    <e v="#N/A"/>
    <x v="1"/>
  </r>
  <r>
    <s v="ORD0068"/>
    <s v="CUST045"/>
    <s v="PROD020"/>
    <x v="4"/>
    <n v="104"/>
    <n v="3"/>
    <n v="312"/>
    <x v="1"/>
    <x v="2"/>
    <s v="UPS"/>
    <d v="2023-12-18T00:00:00"/>
    <m/>
    <m/>
    <x v="1"/>
    <s v="Electronics"/>
    <s v="NA"/>
    <s v="Emily Johnson"/>
    <x v="0"/>
  </r>
  <r>
    <s v="ORD0069"/>
    <s v="CUST044"/>
    <s v="PROD010"/>
    <x v="1"/>
    <n v="58"/>
    <n v="2"/>
    <n v="116"/>
    <x v="0"/>
    <x v="0"/>
    <s v="USPS"/>
    <d v="2023-07-02T00:00:00"/>
    <m/>
    <d v="2023-07-07T00:00:00"/>
    <x v="0"/>
    <s v="Fashion"/>
    <s v="NA"/>
    <s v="Grace Ward"/>
    <x v="0"/>
  </r>
  <r>
    <s v="ORD0070"/>
    <s v="CUST009"/>
    <s v="PROD004"/>
    <x v="4"/>
    <n v="62"/>
    <n v="2"/>
    <n v="124"/>
    <x v="4"/>
    <x v="0"/>
    <s v="DHL"/>
    <d v="2023-10-09T00:00:00"/>
    <m/>
    <d v="2023-10-10T00:00:00"/>
    <x v="0"/>
    <s v="Toys"/>
    <s v="NA"/>
    <s v="Jackson Allen"/>
    <x v="0"/>
  </r>
  <r>
    <s v="ORD0071"/>
    <s v="CUST006"/>
    <s v="PROD019"/>
    <x v="1"/>
    <n v="43"/>
    <n v="1"/>
    <n v="43"/>
    <x v="1"/>
    <x v="1"/>
    <s v="Amazon Logistics"/>
    <d v="2023-12-18T00:00:00"/>
    <d v="2023-12-25T00:00:00"/>
    <m/>
    <x v="1"/>
    <s v="Fashion"/>
    <n v="7"/>
    <s v="Ava Robinson"/>
    <x v="2"/>
  </r>
  <r>
    <s v="ORD0072"/>
    <s v="CUST022"/>
    <s v="PROD004"/>
    <x v="1"/>
    <n v="62"/>
    <n v="4"/>
    <n v="248"/>
    <x v="4"/>
    <x v="2"/>
    <s v="Amazon Logistics"/>
    <d v="2023-03-07T00:00:00"/>
    <m/>
    <m/>
    <x v="1"/>
    <s v="Toys"/>
    <s v="NA"/>
    <s v="Elijah Lewis"/>
    <x v="0"/>
  </r>
  <r>
    <s v="ORD0073"/>
    <s v="CUST028"/>
    <s v="PROD006"/>
    <x v="0"/>
    <n v="95"/>
    <n v="2"/>
    <n v="190"/>
    <x v="2"/>
    <x v="0"/>
    <s v="UPS"/>
    <d v="2023-07-22T00:00:00"/>
    <m/>
    <d v="2023-07-25T00:00:00"/>
    <x v="0"/>
    <s v="Fashion"/>
    <s v="NA"/>
    <s v="Lily Bennett"/>
    <x v="0"/>
  </r>
  <r>
    <s v="ORD0074"/>
    <s v="CUST016"/>
    <s v="PROD021"/>
    <x v="3"/>
    <n v="36"/>
    <n v="4"/>
    <n v="144"/>
    <x v="0"/>
    <x v="1"/>
    <s v="FedEx"/>
    <d v="2023-01-18T00:00:00"/>
    <d v="2023-01-24T00:00:00"/>
    <m/>
    <x v="1"/>
    <s v="Home"/>
    <n v="6"/>
    <s v="Elijah Lewis"/>
    <x v="2"/>
  </r>
  <r>
    <s v="ORD0075"/>
    <s v="CUST042"/>
    <s v="PROD017"/>
    <x v="1"/>
    <n v="73"/>
    <n v="5"/>
    <n v="365"/>
    <x v="0"/>
    <x v="2"/>
    <s v="DHL"/>
    <d v="2023-05-24T00:00:00"/>
    <m/>
    <m/>
    <x v="1"/>
    <s v="Electronics"/>
    <s v="NA"/>
    <s v="Noah Wilson"/>
    <x v="0"/>
  </r>
  <r>
    <s v="ORD0076"/>
    <s v="CUST023"/>
    <s v="PROD019"/>
    <x v="0"/>
    <n v="43"/>
    <n v="4"/>
    <n v="172"/>
    <x v="4"/>
    <x v="1"/>
    <s v="DHL"/>
    <d v="2023-09-03T00:00:00"/>
    <d v="2023-09-09T00:00:00"/>
    <m/>
    <x v="1"/>
    <s v="Fashion"/>
    <n v="6"/>
    <s v="Charlotte Reed"/>
    <x v="2"/>
  </r>
  <r>
    <s v="ORD0077"/>
    <s v="CUST004"/>
    <s v="PROD016"/>
    <x v="4"/>
    <n v="214"/>
    <n v="5"/>
    <n v="1070"/>
    <x v="4"/>
    <x v="1"/>
    <s v="UPS"/>
    <d v="2023-11-02T00:00:00"/>
    <d v="2023-11-04T00:00:00"/>
    <m/>
    <x v="1"/>
    <s v="Home"/>
    <n v="2"/>
    <s v="Noah Wilson"/>
    <x v="1"/>
  </r>
  <r>
    <s v="ORD0078"/>
    <s v="CUST048"/>
    <s v="PROD002"/>
    <x v="3"/>
    <n v="42"/>
    <n v="2"/>
    <n v="84"/>
    <x v="0"/>
    <x v="0"/>
    <s v="UPS"/>
    <d v="2023-12-03T00:00:00"/>
    <m/>
    <d v="2023-12-06T00:00:00"/>
    <x v="0"/>
    <s v="Toys"/>
    <s v="NA"/>
    <s v="Noah Wilson"/>
    <x v="0"/>
  </r>
  <r>
    <s v="ORD0079"/>
    <s v="CUST048"/>
    <s v="PROD012"/>
    <x v="0"/>
    <n v="46"/>
    <n v="1"/>
    <n v="46"/>
    <x v="3"/>
    <x v="2"/>
    <s v="UPS"/>
    <d v="2023-04-01T00:00:00"/>
    <m/>
    <m/>
    <x v="1"/>
    <s v="Home"/>
    <s v="NA"/>
    <s v="Noah Wilson"/>
    <x v="0"/>
  </r>
  <r>
    <s v="ORD0080"/>
    <s v="CUST032"/>
    <s v="PROD018"/>
    <x v="1"/>
    <n v="95"/>
    <n v="4"/>
    <n v="380"/>
    <x v="1"/>
    <x v="1"/>
    <s v="UPS"/>
    <d v="2023-10-16T00:00:00"/>
    <d v="2023-10-19T00:00:00"/>
    <m/>
    <x v="1"/>
    <s v="Toys"/>
    <n v="3"/>
    <s v="Luke Gray"/>
    <x v="2"/>
  </r>
  <r>
    <s v="ORD0081"/>
    <s v="CUST001"/>
    <s v="PROD011"/>
    <x v="4"/>
    <n v="174"/>
    <n v="2"/>
    <n v="348"/>
    <x v="2"/>
    <x v="2"/>
    <s v="UPS"/>
    <d v="2023-11-05T00:00:00"/>
    <m/>
    <m/>
    <x v="1"/>
    <s v="Electronics"/>
    <s v="NA"/>
    <s v="James Miller"/>
    <x v="0"/>
  </r>
  <r>
    <s v="ORD0082"/>
    <s v="CUST046"/>
    <s v="PROD005"/>
    <x v="0"/>
    <n v="27"/>
    <n v="5"/>
    <n v="135"/>
    <x v="1"/>
    <x v="0"/>
    <s v="Amazon Logistics"/>
    <d v="2023-06-15T00:00:00"/>
    <m/>
    <d v="2023-06-18T00:00:00"/>
    <x v="0"/>
    <s v="Fashion"/>
    <s v="NA"/>
    <s v="Emily Johnson"/>
    <x v="0"/>
  </r>
  <r>
    <s v="ORD0083"/>
    <s v="CUST021"/>
    <s v="PROD005"/>
    <x v="2"/>
    <n v="27"/>
    <n v="4"/>
    <n v="108"/>
    <x v="2"/>
    <x v="1"/>
    <s v="USPS"/>
    <d v="2023-10-28T00:00:00"/>
    <d v="2023-10-30T00:00:00"/>
    <m/>
    <x v="1"/>
    <s v="Fashion"/>
    <n v="2"/>
    <s v="Zoe Mitchell"/>
    <x v="1"/>
  </r>
  <r>
    <s v="ORD0084"/>
    <s v="CUST015"/>
    <s v="PROD022"/>
    <x v="2"/>
    <n v="65"/>
    <n v="2"/>
    <n v="130"/>
    <x v="2"/>
    <x v="2"/>
    <s v="DHL"/>
    <d v="2023-12-22T00:00:00"/>
    <m/>
    <m/>
    <x v="1"/>
    <s v="Fashion"/>
    <s v="NA"/>
    <s v="Ava White"/>
    <x v="0"/>
  </r>
  <r>
    <s v="ORD0085"/>
    <s v="CUST045"/>
    <s v="PROD019"/>
    <x v="1"/>
    <n v="43"/>
    <n v="5"/>
    <n v="215"/>
    <x v="4"/>
    <x v="2"/>
    <s v="DHL"/>
    <d v="2023-03-07T00:00:00"/>
    <m/>
    <m/>
    <x v="1"/>
    <s v="Fashion"/>
    <s v="NA"/>
    <s v="Emily Johnson"/>
    <x v="0"/>
  </r>
  <r>
    <s v="ORD0086"/>
    <s v="CUST007"/>
    <s v="PROD016"/>
    <x v="4"/>
    <n v="210"/>
    <n v="1"/>
    <n v="210"/>
    <x v="2"/>
    <x v="2"/>
    <s v="UPS"/>
    <d v="2023-11-10T00:00:00"/>
    <m/>
    <m/>
    <x v="1"/>
    <s v="Home"/>
    <s v="NA"/>
    <s v="Liam Walker"/>
    <x v="0"/>
  </r>
  <r>
    <s v="ORD0087"/>
    <s v="CUST043"/>
    <s v="PROD021"/>
    <x v="2"/>
    <n v="37"/>
    <n v="3"/>
    <n v="111"/>
    <x v="1"/>
    <x v="2"/>
    <s v="UPS"/>
    <d v="2023-11-22T00:00:00"/>
    <m/>
    <m/>
    <x v="1"/>
    <s v="Home"/>
    <s v="NA"/>
    <s v="Lily Reed"/>
    <x v="0"/>
  </r>
  <r>
    <s v="ORD0088"/>
    <s v="CUST007"/>
    <s v="PROD001"/>
    <x v="2"/>
    <n v="788"/>
    <n v="4"/>
    <n v="3152"/>
    <x v="4"/>
    <x v="2"/>
    <s v="Amazon Logistics"/>
    <d v="2023-05-08T00:00:00"/>
    <m/>
    <m/>
    <x v="1"/>
    <s v="Electronics"/>
    <s v="NA"/>
    <s v="Liam Walker"/>
    <x v="0"/>
  </r>
  <r>
    <s v="ORD0089"/>
    <s v="CUST007"/>
    <s v="PROD016"/>
    <x v="4"/>
    <n v="217"/>
    <n v="5"/>
    <n v="1085"/>
    <x v="4"/>
    <x v="2"/>
    <s v="FedEx"/>
    <d v="2023-07-13T00:00:00"/>
    <m/>
    <m/>
    <x v="1"/>
    <s v="Home"/>
    <s v="NA"/>
    <s v="Liam Walker"/>
    <x v="0"/>
  </r>
  <r>
    <s v="ORD0090"/>
    <s v="CUST007"/>
    <s v="PROD003"/>
    <x v="4"/>
    <n v="138"/>
    <n v="4"/>
    <n v="552"/>
    <x v="1"/>
    <x v="2"/>
    <s v="FedEx"/>
    <d v="2023-01-18T00:00:00"/>
    <m/>
    <m/>
    <x v="1"/>
    <s v="Home"/>
    <s v="NA"/>
    <s v="Liam Walker"/>
    <x v="0"/>
  </r>
  <r>
    <s v="ORD0091"/>
    <s v="CUST031"/>
    <s v="PROD001"/>
    <x v="3"/>
    <n v="803"/>
    <n v="2"/>
    <n v="1606"/>
    <x v="0"/>
    <x v="1"/>
    <s v="FedEx"/>
    <d v="2023-06-23T00:00:00"/>
    <d v="2023-06-29T00:00:00"/>
    <m/>
    <x v="1"/>
    <s v="Electronics"/>
    <n v="6"/>
    <s v="Mason Collins"/>
    <x v="2"/>
  </r>
  <r>
    <s v="ORD0092"/>
    <s v="CUST013"/>
    <s v="PROD014"/>
    <x v="0"/>
    <n v="248"/>
    <n v="5"/>
    <n v="1240"/>
    <x v="2"/>
    <x v="0"/>
    <s v="UPS"/>
    <d v="2023-02-21T00:00:00"/>
    <m/>
    <d v="2023-02-25T00:00:00"/>
    <x v="0"/>
    <s v="Electronics"/>
    <s v="NA"/>
    <s v="Olivia Martinez"/>
    <x v="0"/>
  </r>
  <r>
    <s v="ORD0093"/>
    <s v="CUST036"/>
    <s v="PROD016"/>
    <x v="1"/>
    <n v="210"/>
    <n v="3"/>
    <n v="630"/>
    <x v="0"/>
    <x v="1"/>
    <s v="DHL"/>
    <d v="2023-02-19T00:00:00"/>
    <d v="2023-02-21T00:00:00"/>
    <m/>
    <x v="1"/>
    <s v="Home"/>
    <n v="2"/>
    <s v="Ethan Davis"/>
    <x v="1"/>
  </r>
  <r>
    <s v="ORD0094"/>
    <s v="CUST013"/>
    <s v="PROD004"/>
    <x v="0"/>
    <n v="62"/>
    <n v="2"/>
    <n v="124"/>
    <x v="1"/>
    <x v="0"/>
    <s v="FedEx"/>
    <d v="2023-12-05T00:00:00"/>
    <m/>
    <d v="2023-12-12T00:00:00"/>
    <x v="0"/>
    <s v="Toys"/>
    <s v="NA"/>
    <s v="Olivia Martinez"/>
    <x v="0"/>
  </r>
  <r>
    <s v="ORD0095"/>
    <s v="CUST043"/>
    <s v="PROD009"/>
    <x v="2"/>
    <n v="11"/>
    <n v="5"/>
    <n v="55"/>
    <x v="4"/>
    <x v="0"/>
    <s v="Amazon Logistics"/>
    <d v="2023-06-07T00:00:00"/>
    <m/>
    <d v="2023-06-12T00:00:00"/>
    <x v="0"/>
    <s v="Books"/>
    <s v="NA"/>
    <s v="Lily Reed"/>
    <x v="0"/>
  </r>
  <r>
    <s v="ORD0096"/>
    <s v="CUST017"/>
    <s v="PROD015"/>
    <x v="0"/>
    <n v="21"/>
    <n v="2"/>
    <n v="42"/>
    <x v="3"/>
    <x v="1"/>
    <s v="UPS"/>
    <d v="2023-07-09T00:00:00"/>
    <d v="2023-07-12T00:00:00"/>
    <m/>
    <x v="1"/>
    <s v="Books"/>
    <n v="3"/>
    <s v="Emma King"/>
    <x v="2"/>
  </r>
  <r>
    <s v="ORD0097"/>
    <s v="CUST023"/>
    <s v="PROD018"/>
    <x v="4"/>
    <n v="95"/>
    <n v="5"/>
    <n v="475"/>
    <x v="3"/>
    <x v="1"/>
    <s v="Amazon Logistics"/>
    <d v="2023-12-23T00:00:00"/>
    <d v="2023-12-26T00:00:00"/>
    <m/>
    <x v="1"/>
    <s v="Toys"/>
    <n v="3"/>
    <s v="Charlotte Reed"/>
    <x v="2"/>
  </r>
  <r>
    <s v="ORD0098"/>
    <s v="CUST044"/>
    <s v="PROD016"/>
    <x v="2"/>
    <n v="215"/>
    <n v="2"/>
    <n v="430"/>
    <x v="2"/>
    <x v="1"/>
    <s v="Amazon Logistics"/>
    <d v="2023-09-25T00:00:00"/>
    <d v="2023-09-30T00:00:00"/>
    <m/>
    <x v="1"/>
    <s v="Home"/>
    <n v="5"/>
    <s v="Grace Ward"/>
    <x v="2"/>
  </r>
  <r>
    <s v="ORD0099"/>
    <s v="CUST034"/>
    <s v="PROD019"/>
    <x v="4"/>
    <n v="43"/>
    <n v="5"/>
    <n v="215"/>
    <x v="1"/>
    <x v="0"/>
    <s v="UPS"/>
    <d v="2023-01-18T00:00:00"/>
    <m/>
    <d v="2023-01-24T00:00:00"/>
    <x v="0"/>
    <s v="Fashion"/>
    <s v="NA"/>
    <s v="Lily Simmons"/>
    <x v="0"/>
  </r>
  <r>
    <s v="ORD0100"/>
    <s v="CUST009"/>
    <s v="PROD002"/>
    <x v="4"/>
    <n v="42"/>
    <n v="4"/>
    <n v="168"/>
    <x v="4"/>
    <x v="2"/>
    <s v="DHL"/>
    <d v="2023-03-27T00:00:00"/>
    <m/>
    <m/>
    <x v="1"/>
    <s v="Toys"/>
    <s v="NA"/>
    <s v="Jackson Allen"/>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n v="44"/>
    <x v="0"/>
    <x v="0"/>
    <s v="DHL"/>
    <x v="0"/>
    <m/>
    <d v="2024-01-02T00:00:00"/>
    <s v="yes"/>
    <x v="0"/>
    <s v="NA"/>
    <s v="Zoe Mitchell"/>
    <s v="NA"/>
    <x v="0"/>
  </r>
  <r>
    <x v="1"/>
    <s v="CUST029"/>
    <s v="PROD018"/>
    <x v="1"/>
    <n v="96"/>
    <n v="4"/>
    <n v="384"/>
    <x v="1"/>
    <x v="1"/>
    <s v="DHL"/>
    <x v="1"/>
    <d v="2023-02-24T00:00:00"/>
    <m/>
    <s v="No"/>
    <x v="1"/>
    <n v="2"/>
    <s v="Ava White"/>
    <s v="Fast"/>
    <x v="1"/>
  </r>
  <r>
    <x v="2"/>
    <s v="CUST021"/>
    <s v="PROD013"/>
    <x v="2"/>
    <n v="194"/>
    <n v="4"/>
    <n v="776"/>
    <x v="1"/>
    <x v="2"/>
    <s v="USPS"/>
    <x v="2"/>
    <m/>
    <m/>
    <s v="No"/>
    <x v="0"/>
    <s v="NA"/>
    <s v="Zoe Mitchell"/>
    <s v="NA"/>
    <x v="2"/>
  </r>
  <r>
    <x v="3"/>
    <s v="CUST044"/>
    <s v="PROD013"/>
    <x v="0"/>
    <n v="196"/>
    <n v="3"/>
    <n v="588"/>
    <x v="2"/>
    <x v="0"/>
    <s v="UPS"/>
    <x v="3"/>
    <m/>
    <d v="2023-05-11T00:00:00"/>
    <s v="yes"/>
    <x v="0"/>
    <s v="NA"/>
    <s v="Grace Ward"/>
    <s v="NA"/>
    <x v="2"/>
  </r>
  <r>
    <x v="4"/>
    <s v="CUST027"/>
    <s v="PROD010"/>
    <x v="0"/>
    <n v="59"/>
    <n v="1"/>
    <n v="59"/>
    <x v="2"/>
    <x v="1"/>
    <s v="Amazon Logistics"/>
    <x v="4"/>
    <d v="2023-02-05T00:00:00"/>
    <m/>
    <s v="No"/>
    <x v="2"/>
    <n v="3"/>
    <s v="Hazel Brooks"/>
    <s v="Slow"/>
    <x v="3"/>
  </r>
  <r>
    <x v="5"/>
    <s v="CUST009"/>
    <s v="PROD010"/>
    <x v="0"/>
    <n v="58"/>
    <n v="4"/>
    <n v="232"/>
    <x v="3"/>
    <x v="0"/>
    <s v="DHL"/>
    <x v="5"/>
    <m/>
    <d v="2023-11-02T00:00:00"/>
    <s v="yes"/>
    <x v="2"/>
    <s v="NA"/>
    <s v="Jackson Allen"/>
    <s v="NA"/>
    <x v="3"/>
  </r>
  <r>
    <x v="6"/>
    <s v="CUST042"/>
    <s v="PROD020"/>
    <x v="3"/>
    <n v="105"/>
    <n v="3"/>
    <n v="315"/>
    <x v="4"/>
    <x v="0"/>
    <s v="DHL"/>
    <x v="6"/>
    <m/>
    <d v="2023-08-18T00:00:00"/>
    <s v="yes"/>
    <x v="3"/>
    <s v="NA"/>
    <s v="Noah Wilson"/>
    <s v="NA"/>
    <x v="4"/>
  </r>
  <r>
    <x v="7"/>
    <s v="CUST019"/>
    <s v="PROD021"/>
    <x v="4"/>
    <n v="37"/>
    <n v="5"/>
    <n v="185"/>
    <x v="2"/>
    <x v="0"/>
    <s v="DHL"/>
    <x v="7"/>
    <m/>
    <d v="2023-04-06T00:00:00"/>
    <s v="yes"/>
    <x v="0"/>
    <s v="NA"/>
    <s v="Ava Robinson"/>
    <s v="NA"/>
    <x v="5"/>
  </r>
  <r>
    <x v="8"/>
    <s v="CUST013"/>
    <s v="PROD019"/>
    <x v="3"/>
    <n v="44"/>
    <n v="2"/>
    <n v="88"/>
    <x v="1"/>
    <x v="2"/>
    <s v="Amazon Logistics"/>
    <x v="8"/>
    <m/>
    <m/>
    <s v="No"/>
    <x v="2"/>
    <s v="NA"/>
    <s v="Olivia Martinez"/>
    <s v="NA"/>
    <x v="6"/>
  </r>
  <r>
    <x v="9"/>
    <s v="CUST019"/>
    <s v="PROD003"/>
    <x v="2"/>
    <n v="141"/>
    <n v="4"/>
    <n v="564"/>
    <x v="4"/>
    <x v="2"/>
    <s v="DHL"/>
    <x v="9"/>
    <m/>
    <m/>
    <s v="No"/>
    <x v="0"/>
    <s v="NA"/>
    <s v="Ava Robinson"/>
    <s v="NA"/>
    <x v="7"/>
  </r>
  <r>
    <x v="10"/>
    <s v="CUST046"/>
    <s v="PROD014"/>
    <x v="2"/>
    <n v="249"/>
    <n v="1"/>
    <n v="249"/>
    <x v="3"/>
    <x v="0"/>
    <s v="USPS"/>
    <x v="10"/>
    <m/>
    <d v="2023-05-08T00:00:00"/>
    <s v="yes"/>
    <x v="3"/>
    <s v="NA"/>
    <s v="Emily Johnson"/>
    <s v="NA"/>
    <x v="8"/>
  </r>
  <r>
    <x v="11"/>
    <s v="CUST045"/>
    <s v="PROD014"/>
    <x v="3"/>
    <n v="247"/>
    <n v="3"/>
    <n v="741"/>
    <x v="3"/>
    <x v="2"/>
    <s v="FedEx"/>
    <x v="11"/>
    <m/>
    <m/>
    <s v="No"/>
    <x v="3"/>
    <s v="NA"/>
    <s v="Emily Johnson"/>
    <s v="NA"/>
    <x v="8"/>
  </r>
  <r>
    <x v="12"/>
    <s v="CUST023"/>
    <s v="PROD006"/>
    <x v="3"/>
    <n v="96"/>
    <n v="1"/>
    <n v="96"/>
    <x v="0"/>
    <x v="0"/>
    <s v="Amazon Logistics"/>
    <x v="12"/>
    <m/>
    <d v="2023-02-28T00:00:00"/>
    <s v="yes"/>
    <x v="2"/>
    <s v="NA"/>
    <s v="Charlotte Reed"/>
    <s v="NA"/>
    <x v="9"/>
  </r>
  <r>
    <x v="13"/>
    <s v="CUST033"/>
    <s v="PROD017"/>
    <x v="4"/>
    <n v="74"/>
    <n v="5"/>
    <n v="370"/>
    <x v="0"/>
    <x v="0"/>
    <s v="Amazon Logistics"/>
    <x v="13"/>
    <m/>
    <d v="2023-02-25T00:00:00"/>
    <s v="yes"/>
    <x v="3"/>
    <s v="NA"/>
    <s v="Hazel Rivera"/>
    <s v="NA"/>
    <x v="10"/>
  </r>
  <r>
    <x v="14"/>
    <s v="CUST033"/>
    <s v="PROD005"/>
    <x v="2"/>
    <n v="27"/>
    <n v="1"/>
    <n v="27"/>
    <x v="1"/>
    <x v="0"/>
    <s v="Amazon Logistics"/>
    <x v="14"/>
    <m/>
    <d v="2023-09-02T00:00:00"/>
    <s v="yes"/>
    <x v="2"/>
    <s v="NA"/>
    <s v="Hazel Rivera"/>
    <s v="NA"/>
    <x v="11"/>
  </r>
  <r>
    <x v="15"/>
    <s v="CUST047"/>
    <s v="PROD005"/>
    <x v="2"/>
    <n v="27"/>
    <n v="3"/>
    <n v="81"/>
    <x v="4"/>
    <x v="2"/>
    <s v="Amazon Logistics"/>
    <x v="15"/>
    <m/>
    <m/>
    <s v="No"/>
    <x v="2"/>
    <s v="NA"/>
    <s v="Scarlett Murphy"/>
    <s v="NA"/>
    <x v="11"/>
  </r>
  <r>
    <x v="16"/>
    <s v="CUST045"/>
    <s v="PROD015"/>
    <x v="1"/>
    <n v="21"/>
    <n v="3"/>
    <n v="63"/>
    <x v="1"/>
    <x v="1"/>
    <s v="DHL"/>
    <x v="16"/>
    <d v="2023-07-01T00:00:00"/>
    <m/>
    <s v="No"/>
    <x v="4"/>
    <n v="3"/>
    <s v="Emily Johnson"/>
    <s v="Slow"/>
    <x v="12"/>
  </r>
  <r>
    <x v="17"/>
    <s v="CUST011"/>
    <s v="PROD008"/>
    <x v="4"/>
    <n v="70"/>
    <n v="5"/>
    <n v="350"/>
    <x v="2"/>
    <x v="2"/>
    <s v="Amazon Logistics"/>
    <x v="17"/>
    <m/>
    <m/>
    <s v="No"/>
    <x v="4"/>
    <s v="NA"/>
    <s v="Mason Hall"/>
    <s v="NA"/>
    <x v="13"/>
  </r>
  <r>
    <x v="18"/>
    <s v="CUST041"/>
    <s v="PROD006"/>
    <x v="2"/>
    <n v="94"/>
    <n v="4"/>
    <n v="376"/>
    <x v="1"/>
    <x v="2"/>
    <s v="USPS"/>
    <x v="18"/>
    <m/>
    <m/>
    <s v="No"/>
    <x v="2"/>
    <s v="NA"/>
    <s v="Jacob Price"/>
    <s v="NA"/>
    <x v="9"/>
  </r>
  <r>
    <x v="19"/>
    <s v="CUST025"/>
    <s v="PROD001"/>
    <x v="0"/>
    <n v="813"/>
    <n v="2"/>
    <n v="1626"/>
    <x v="1"/>
    <x v="2"/>
    <s v="FedEx"/>
    <x v="19"/>
    <m/>
    <m/>
    <s v="No"/>
    <x v="3"/>
    <s v="NA"/>
    <s v="Emma King"/>
    <s v="NA"/>
    <x v="14"/>
  </r>
  <r>
    <x v="20"/>
    <s v="CUST013"/>
    <s v="PROD015"/>
    <x v="3"/>
    <n v="21"/>
    <n v="4"/>
    <n v="84"/>
    <x v="2"/>
    <x v="2"/>
    <s v="Amazon Logistics"/>
    <x v="20"/>
    <m/>
    <m/>
    <s v="No"/>
    <x v="4"/>
    <s v="NA"/>
    <s v="Olivia Martinez"/>
    <s v="NA"/>
    <x v="12"/>
  </r>
  <r>
    <x v="21"/>
    <s v="CUST023"/>
    <s v="PROD012"/>
    <x v="4"/>
    <n v="46"/>
    <n v="5"/>
    <n v="230"/>
    <x v="2"/>
    <x v="2"/>
    <s v="USPS"/>
    <x v="21"/>
    <m/>
    <m/>
    <s v="No"/>
    <x v="0"/>
    <s v="NA"/>
    <s v="Charlotte Reed"/>
    <s v="NA"/>
    <x v="0"/>
  </r>
  <r>
    <x v="22"/>
    <s v="CUST016"/>
    <s v="PROD010"/>
    <x v="4"/>
    <n v="58"/>
    <n v="3"/>
    <n v="174"/>
    <x v="3"/>
    <x v="0"/>
    <s v="Amazon Logistics"/>
    <x v="15"/>
    <m/>
    <d v="2023-02-14T00:00:00"/>
    <s v="yes"/>
    <x v="2"/>
    <s v="NA"/>
    <s v="Elijah Lewis"/>
    <s v="NA"/>
    <x v="3"/>
  </r>
  <r>
    <x v="23"/>
    <s v="CUST028"/>
    <s v="PROD006"/>
    <x v="4"/>
    <n v="96"/>
    <n v="5"/>
    <n v="480"/>
    <x v="3"/>
    <x v="1"/>
    <s v="Amazon Logistics"/>
    <x v="22"/>
    <d v="2023-11-05T00:00:00"/>
    <m/>
    <s v="No"/>
    <x v="2"/>
    <n v="3"/>
    <s v="Lily Bennett"/>
    <s v="Slow"/>
    <x v="9"/>
  </r>
  <r>
    <x v="24"/>
    <s v="CUST040"/>
    <s v="PROD002"/>
    <x v="2"/>
    <n v="43"/>
    <n v="1"/>
    <n v="43"/>
    <x v="4"/>
    <x v="1"/>
    <s v="Amazon Logistics"/>
    <x v="23"/>
    <d v="2023-05-30T00:00:00"/>
    <m/>
    <s v="No"/>
    <x v="1"/>
    <n v="2"/>
    <s v="Benjamin Clark"/>
    <s v="Fast"/>
    <x v="15"/>
  </r>
  <r>
    <x v="25"/>
    <s v="CUST027"/>
    <s v="PROD022"/>
    <x v="2"/>
    <n v="64"/>
    <n v="4"/>
    <n v="256"/>
    <x v="4"/>
    <x v="1"/>
    <s v="USPS"/>
    <x v="24"/>
    <d v="2023-10-21T00:00:00"/>
    <m/>
    <s v="No"/>
    <x v="2"/>
    <n v="6"/>
    <s v="Hazel Brooks"/>
    <s v="Slow"/>
    <x v="16"/>
  </r>
  <r>
    <x v="26"/>
    <s v="CUST018"/>
    <s v="PROD008"/>
    <x v="2"/>
    <n v="70"/>
    <n v="2"/>
    <n v="140"/>
    <x v="3"/>
    <x v="2"/>
    <s v="Amazon Logistics"/>
    <x v="25"/>
    <m/>
    <m/>
    <s v="No"/>
    <x v="4"/>
    <s v="NA"/>
    <s v="Grace Scott"/>
    <s v="NA"/>
    <x v="13"/>
  </r>
  <r>
    <x v="27"/>
    <s v="CUST018"/>
    <s v="PROD018"/>
    <x v="3"/>
    <n v="97"/>
    <n v="3"/>
    <n v="291"/>
    <x v="1"/>
    <x v="2"/>
    <s v="Amazon Logistics"/>
    <x v="26"/>
    <m/>
    <m/>
    <s v="No"/>
    <x v="1"/>
    <s v="NA"/>
    <s v="Grace Scott"/>
    <s v="NA"/>
    <x v="1"/>
  </r>
  <r>
    <x v="28"/>
    <s v="CUST007"/>
    <s v="PROD021"/>
    <x v="1"/>
    <n v="37"/>
    <n v="3"/>
    <n v="111"/>
    <x v="0"/>
    <x v="0"/>
    <s v="DHL"/>
    <x v="27"/>
    <m/>
    <d v="2023-10-10T00:00:00"/>
    <s v="yes"/>
    <x v="0"/>
    <s v="NA"/>
    <s v="Liam Walker"/>
    <s v="NA"/>
    <x v="5"/>
  </r>
  <r>
    <x v="29"/>
    <s v="CUST008"/>
    <s v="PROD008"/>
    <x v="0"/>
    <n v="69"/>
    <n v="5"/>
    <n v="345"/>
    <x v="3"/>
    <x v="2"/>
    <s v="Amazon Logistics"/>
    <x v="28"/>
    <m/>
    <m/>
    <s v="No"/>
    <x v="4"/>
    <s v="NA"/>
    <s v="Harper Young"/>
    <s v="NA"/>
    <x v="13"/>
  </r>
  <r>
    <x v="30"/>
    <s v="CUST014"/>
    <s v="PROD002"/>
    <x v="0"/>
    <n v="42"/>
    <n v="5"/>
    <n v="210"/>
    <x v="3"/>
    <x v="2"/>
    <s v="UPS"/>
    <x v="29"/>
    <m/>
    <m/>
    <s v="No"/>
    <x v="1"/>
    <s v="NA"/>
    <s v="Harper Young"/>
    <s v="NA"/>
    <x v="15"/>
  </r>
  <r>
    <x v="31"/>
    <s v="CUST037"/>
    <s v="PROD009"/>
    <x v="1"/>
    <n v="11"/>
    <n v="5"/>
    <n v="55"/>
    <x v="4"/>
    <x v="0"/>
    <s v="FedEx"/>
    <x v="30"/>
    <m/>
    <d v="2023-06-22T00:00:00"/>
    <s v="yes"/>
    <x v="4"/>
    <s v="NA"/>
    <s v="Emily Johnson"/>
    <s v="NA"/>
    <x v="17"/>
  </r>
  <r>
    <x v="32"/>
    <s v="CUST016"/>
    <s v="PROD005"/>
    <x v="2"/>
    <n v="27"/>
    <n v="2"/>
    <n v="54"/>
    <x v="0"/>
    <x v="1"/>
    <s v="USPS"/>
    <x v="31"/>
    <d v="2023-05-23T00:00:00"/>
    <m/>
    <s v="No"/>
    <x v="2"/>
    <n v="1"/>
    <s v="Elijah Lewis"/>
    <s v="Fast"/>
    <x v="11"/>
  </r>
  <r>
    <x v="33"/>
    <s v="CUST025"/>
    <s v="PROD015"/>
    <x v="2"/>
    <n v="21"/>
    <n v="1"/>
    <n v="21"/>
    <x v="3"/>
    <x v="2"/>
    <s v="DHL"/>
    <x v="32"/>
    <m/>
    <m/>
    <s v="No"/>
    <x v="4"/>
    <s v="NA"/>
    <s v="Emma King"/>
    <s v="NA"/>
    <x v="12"/>
  </r>
  <r>
    <x v="34"/>
    <s v="CUST032"/>
    <s v="PROD011"/>
    <x v="2"/>
    <n v="172"/>
    <n v="1"/>
    <n v="172"/>
    <x v="2"/>
    <x v="1"/>
    <s v="USPS"/>
    <x v="33"/>
    <d v="2023-12-26T00:00:00"/>
    <m/>
    <s v="No"/>
    <x v="3"/>
    <n v="4"/>
    <s v="Luke Gray"/>
    <s v="Slow"/>
    <x v="18"/>
  </r>
  <r>
    <x v="35"/>
    <s v="CUST014"/>
    <s v="PROD016"/>
    <x v="0"/>
    <n v="212"/>
    <n v="3"/>
    <n v="636"/>
    <x v="3"/>
    <x v="2"/>
    <s v="UPS"/>
    <x v="34"/>
    <m/>
    <m/>
    <s v="No"/>
    <x v="0"/>
    <s v="NA"/>
    <s v="Harper Young"/>
    <s v="NA"/>
    <x v="19"/>
  </r>
  <r>
    <x v="36"/>
    <s v="CUST044"/>
    <s v="PROD002"/>
    <x v="1"/>
    <n v="41"/>
    <n v="4"/>
    <n v="164"/>
    <x v="1"/>
    <x v="1"/>
    <s v="Amazon Logistics"/>
    <x v="35"/>
    <d v="2023-10-22T00:00:00"/>
    <m/>
    <s v="No"/>
    <x v="1"/>
    <n v="5"/>
    <s v="Grace Ward"/>
    <s v="Slow"/>
    <x v="15"/>
  </r>
  <r>
    <x v="37"/>
    <s v="CUST028"/>
    <s v="PROD007"/>
    <x v="0"/>
    <n v="32"/>
    <n v="2"/>
    <n v="64"/>
    <x v="4"/>
    <x v="0"/>
    <s v="FedEx"/>
    <x v="36"/>
    <m/>
    <d v="2023-08-24T00:00:00"/>
    <s v="yes"/>
    <x v="1"/>
    <s v="NA"/>
    <s v="Lily Bennett"/>
    <s v="NA"/>
    <x v="20"/>
  </r>
  <r>
    <x v="38"/>
    <s v="CUST024"/>
    <s v="PROD022"/>
    <x v="1"/>
    <n v="66"/>
    <n v="2"/>
    <n v="132"/>
    <x v="0"/>
    <x v="2"/>
    <s v="DHL"/>
    <x v="37"/>
    <m/>
    <m/>
    <s v="No"/>
    <x v="2"/>
    <s v="NA"/>
    <s v="Scarlett Murphy"/>
    <s v="NA"/>
    <x v="16"/>
  </r>
  <r>
    <x v="39"/>
    <s v="CUST006"/>
    <s v="PROD004"/>
    <x v="1"/>
    <n v="62"/>
    <n v="4"/>
    <n v="248"/>
    <x v="4"/>
    <x v="2"/>
    <s v="UPS"/>
    <x v="38"/>
    <m/>
    <m/>
    <s v="No"/>
    <x v="1"/>
    <s v="NA"/>
    <s v="Ava Robinson"/>
    <s v="NA"/>
    <x v="21"/>
  </r>
  <r>
    <x v="40"/>
    <s v="CUST001"/>
    <s v="PROD011"/>
    <x v="4"/>
    <n v="173"/>
    <n v="4"/>
    <n v="692"/>
    <x v="0"/>
    <x v="1"/>
    <s v="UPS"/>
    <x v="39"/>
    <d v="2023-09-30T00:00:00"/>
    <m/>
    <s v="No"/>
    <x v="3"/>
    <n v="7"/>
    <s v="James Miller"/>
    <s v="Slow"/>
    <x v="18"/>
  </r>
  <r>
    <x v="41"/>
    <s v="CUST007"/>
    <s v="PROD004"/>
    <x v="4"/>
    <n v="63"/>
    <n v="3"/>
    <n v="189"/>
    <x v="0"/>
    <x v="1"/>
    <s v="UPS"/>
    <x v="40"/>
    <d v="2023-07-18T00:00:00"/>
    <m/>
    <s v="No"/>
    <x v="1"/>
    <n v="2"/>
    <s v="Liam Walker"/>
    <s v="Fast"/>
    <x v="21"/>
  </r>
  <r>
    <x v="42"/>
    <s v="CUST040"/>
    <s v="PROD021"/>
    <x v="4"/>
    <n v="36"/>
    <n v="3"/>
    <n v="108"/>
    <x v="4"/>
    <x v="0"/>
    <s v="USPS"/>
    <x v="41"/>
    <m/>
    <d v="2023-02-11T00:00:00"/>
    <s v="yes"/>
    <x v="0"/>
    <s v="NA"/>
    <s v="Benjamin Clark"/>
    <s v="NA"/>
    <x v="5"/>
  </r>
  <r>
    <x v="43"/>
    <s v="CUST006"/>
    <s v="PROD004"/>
    <x v="3"/>
    <n v="62"/>
    <n v="1"/>
    <n v="62"/>
    <x v="0"/>
    <x v="0"/>
    <s v="Amazon Logistics"/>
    <x v="42"/>
    <m/>
    <d v="2023-12-23T00:00:00"/>
    <s v="yes"/>
    <x v="1"/>
    <s v="NA"/>
    <s v="Ava Robinson"/>
    <s v="NA"/>
    <x v="21"/>
  </r>
  <r>
    <x v="44"/>
    <s v="CUST042"/>
    <s v="PROD003"/>
    <x v="3"/>
    <n v="137"/>
    <n v="5"/>
    <n v="685"/>
    <x v="3"/>
    <x v="0"/>
    <s v="FedEx"/>
    <x v="43"/>
    <m/>
    <d v="2023-06-14T00:00:00"/>
    <s v="yes"/>
    <x v="0"/>
    <s v="NA"/>
    <s v="Noah Wilson"/>
    <s v="NA"/>
    <x v="7"/>
  </r>
  <r>
    <x v="45"/>
    <s v="CUST039"/>
    <s v="PROD017"/>
    <x v="0"/>
    <n v="73"/>
    <n v="4"/>
    <n v="292"/>
    <x v="1"/>
    <x v="1"/>
    <s v="Amazon Logistics"/>
    <x v="44"/>
    <d v="2023-12-08T00:00:00"/>
    <m/>
    <s v="No"/>
    <x v="3"/>
    <n v="4"/>
    <s v="Logan Ramirez"/>
    <s v="Slow"/>
    <x v="10"/>
  </r>
  <r>
    <x v="46"/>
    <s v="CUST041"/>
    <s v="PROD020"/>
    <x v="0"/>
    <n v="104"/>
    <n v="1"/>
    <n v="104"/>
    <x v="2"/>
    <x v="1"/>
    <s v="Amazon Logistics"/>
    <x v="45"/>
    <d v="2023-07-19T00:00:00"/>
    <m/>
    <s v="No"/>
    <x v="3"/>
    <n v="2"/>
    <s v="Jacob Price"/>
    <s v="Fast"/>
    <x v="4"/>
  </r>
  <r>
    <x v="47"/>
    <s v="CUST044"/>
    <s v="PROD006"/>
    <x v="1"/>
    <n v="97"/>
    <n v="1"/>
    <n v="97"/>
    <x v="3"/>
    <x v="1"/>
    <s v="FedEx"/>
    <x v="46"/>
    <d v="2023-10-24T00:00:00"/>
    <m/>
    <s v="No"/>
    <x v="2"/>
    <n v="5"/>
    <s v="Grace Ward"/>
    <s v="Slow"/>
    <x v="9"/>
  </r>
  <r>
    <x v="48"/>
    <s v="CUST026"/>
    <s v="PROD017"/>
    <x v="2"/>
    <n v="73"/>
    <n v="5"/>
    <n v="365"/>
    <x v="0"/>
    <x v="2"/>
    <s v="Amazon Logistics"/>
    <x v="47"/>
    <m/>
    <m/>
    <s v="No"/>
    <x v="3"/>
    <s v="NA"/>
    <s v="Zoe Mitchell"/>
    <s v="NA"/>
    <x v="10"/>
  </r>
  <r>
    <x v="49"/>
    <s v="CUST040"/>
    <s v="PROD005"/>
    <x v="1"/>
    <n v="27"/>
    <n v="3"/>
    <n v="81"/>
    <x v="3"/>
    <x v="1"/>
    <s v="UPS"/>
    <x v="48"/>
    <d v="2023-02-19T00:00:00"/>
    <m/>
    <s v="No"/>
    <x v="2"/>
    <n v="7"/>
    <s v="Benjamin Clark"/>
    <s v="Slow"/>
    <x v="11"/>
  </r>
  <r>
    <x v="50"/>
    <s v="CUST041"/>
    <s v="PROD021"/>
    <x v="0"/>
    <n v="37"/>
    <n v="1"/>
    <n v="37"/>
    <x v="0"/>
    <x v="2"/>
    <s v="UPS"/>
    <x v="20"/>
    <m/>
    <m/>
    <s v="No"/>
    <x v="0"/>
    <s v="NA"/>
    <s v="Jacob Price"/>
    <s v="NA"/>
    <x v="5"/>
  </r>
  <r>
    <x v="51"/>
    <s v="CUST008"/>
    <s v="PROD015"/>
    <x v="0"/>
    <n v="22"/>
    <n v="1"/>
    <n v="22"/>
    <x v="4"/>
    <x v="1"/>
    <s v="FedEx"/>
    <x v="49"/>
    <d v="2023-02-01T00:00:00"/>
    <m/>
    <s v="No"/>
    <x v="4"/>
    <n v="2"/>
    <s v="Harper Young"/>
    <s v="Fast"/>
    <x v="12"/>
  </r>
  <r>
    <x v="52"/>
    <s v="CUST011"/>
    <s v="PROD016"/>
    <x v="3"/>
    <n v="218"/>
    <n v="5"/>
    <n v="1090"/>
    <x v="2"/>
    <x v="1"/>
    <s v="DHL"/>
    <x v="9"/>
    <d v="2024-01-01T00:00:00"/>
    <m/>
    <s v="No"/>
    <x v="0"/>
    <n v="3"/>
    <s v="Mason Hall"/>
    <s v="Slow"/>
    <x v="19"/>
  </r>
  <r>
    <x v="53"/>
    <s v="CUST018"/>
    <s v="PROD004"/>
    <x v="0"/>
    <n v="64"/>
    <n v="1"/>
    <n v="64"/>
    <x v="0"/>
    <x v="0"/>
    <s v="USPS"/>
    <x v="50"/>
    <m/>
    <d v="2023-03-13T00:00:00"/>
    <s v="yes"/>
    <x v="1"/>
    <s v="NA"/>
    <s v="Grace Scott"/>
    <s v="NA"/>
    <x v="21"/>
  </r>
  <r>
    <x v="54"/>
    <s v="CUST037"/>
    <s v="PROD021"/>
    <x v="3"/>
    <n v="36"/>
    <n v="4"/>
    <n v="144"/>
    <x v="2"/>
    <x v="1"/>
    <s v="Amazon Logistics"/>
    <x v="4"/>
    <d v="2023-02-06T00:00:00"/>
    <m/>
    <s v="No"/>
    <x v="0"/>
    <n v="4"/>
    <s v="Emily Johnson"/>
    <s v="Slow"/>
    <x v="5"/>
  </r>
  <r>
    <x v="55"/>
    <s v="CUST017"/>
    <s v="PROD004"/>
    <x v="4"/>
    <n v="65"/>
    <n v="1"/>
    <n v="65"/>
    <x v="3"/>
    <x v="1"/>
    <s v="FedEx"/>
    <x v="51"/>
    <d v="2023-10-21T00:00:00"/>
    <m/>
    <s v="No"/>
    <x v="1"/>
    <n v="3"/>
    <s v="Emma King"/>
    <s v="Slow"/>
    <x v="21"/>
  </r>
  <r>
    <x v="56"/>
    <s v="CUST025"/>
    <s v="PROD005"/>
    <x v="3"/>
    <n v="26"/>
    <n v="1"/>
    <n v="26"/>
    <x v="0"/>
    <x v="1"/>
    <s v="DHL"/>
    <x v="52"/>
    <d v="2023-01-09T00:00:00"/>
    <m/>
    <s v="No"/>
    <x v="2"/>
    <n v="2"/>
    <s v="Emma King"/>
    <s v="Fast"/>
    <x v="11"/>
  </r>
  <r>
    <x v="57"/>
    <s v="CUST021"/>
    <s v="PROD009"/>
    <x v="0"/>
    <n v="11"/>
    <n v="5"/>
    <n v="55"/>
    <x v="1"/>
    <x v="2"/>
    <s v="FedEx"/>
    <x v="53"/>
    <m/>
    <m/>
    <s v="No"/>
    <x v="4"/>
    <s v="NA"/>
    <s v="Zoe Mitchell"/>
    <s v="NA"/>
    <x v="17"/>
  </r>
  <r>
    <x v="58"/>
    <s v="CUST003"/>
    <s v="PROD013"/>
    <x v="0"/>
    <n v="195"/>
    <n v="4"/>
    <n v="780"/>
    <x v="2"/>
    <x v="0"/>
    <s v="FedEx"/>
    <x v="54"/>
    <m/>
    <d v="2023-04-05T00:00:00"/>
    <s v="yes"/>
    <x v="0"/>
    <s v="NA"/>
    <s v="Ethan Davis"/>
    <s v="NA"/>
    <x v="2"/>
  </r>
  <r>
    <x v="59"/>
    <s v="CUST019"/>
    <s v="PROD019"/>
    <x v="4"/>
    <n v="44"/>
    <n v="5"/>
    <n v="220"/>
    <x v="0"/>
    <x v="0"/>
    <s v="USPS"/>
    <x v="2"/>
    <m/>
    <d v="2023-10-12T00:00:00"/>
    <s v="yes"/>
    <x v="2"/>
    <s v="NA"/>
    <s v="Ava Robinson"/>
    <s v="NA"/>
    <x v="6"/>
  </r>
  <r>
    <x v="60"/>
    <s v="CUST035"/>
    <s v="PROD008"/>
    <x v="1"/>
    <n v="69"/>
    <n v="4"/>
    <n v="276"/>
    <x v="4"/>
    <x v="2"/>
    <s v="DHL"/>
    <x v="55"/>
    <m/>
    <m/>
    <s v="No"/>
    <x v="4"/>
    <s v="NA"/>
    <s v="Scarlett Adams"/>
    <s v="NA"/>
    <x v="13"/>
  </r>
  <r>
    <x v="61"/>
    <s v="CUST022"/>
    <s v="PROD001"/>
    <x v="0"/>
    <n v="815"/>
    <n v="4"/>
    <n v="3260"/>
    <x v="1"/>
    <x v="1"/>
    <s v="USPS"/>
    <x v="56"/>
    <d v="2023-11-29T00:00:00"/>
    <m/>
    <s v="No"/>
    <x v="3"/>
    <n v="7"/>
    <s v="Elijah Lewis"/>
    <s v="Slow"/>
    <x v="14"/>
  </r>
  <r>
    <x v="62"/>
    <s v="CUST004"/>
    <s v="PROD005"/>
    <x v="1"/>
    <n v="27"/>
    <n v="1"/>
    <n v="27"/>
    <x v="4"/>
    <x v="2"/>
    <s v="Amazon Logistics"/>
    <x v="57"/>
    <m/>
    <m/>
    <s v="No"/>
    <x v="2"/>
    <s v="NA"/>
    <s v="Noah Wilson"/>
    <s v="NA"/>
    <x v="11"/>
  </r>
  <r>
    <x v="63"/>
    <s v="CUST048"/>
    <s v="PROD003"/>
    <x v="4"/>
    <n v="139"/>
    <n v="5"/>
    <n v="695"/>
    <x v="0"/>
    <x v="1"/>
    <s v="USPS"/>
    <x v="38"/>
    <d v="2023-12-29T00:00:00"/>
    <m/>
    <s v="No"/>
    <x v="0"/>
    <n v="4"/>
    <s v="Noah Wilson"/>
    <s v="Slow"/>
    <x v="7"/>
  </r>
  <r>
    <x v="64"/>
    <s v="CUST009"/>
    <s v="PROD008"/>
    <x v="2"/>
    <n v="69"/>
    <n v="3"/>
    <n v="207"/>
    <x v="2"/>
    <x v="0"/>
    <s v="Amazon Logistics"/>
    <x v="51"/>
    <m/>
    <d v="2023-10-20T00:00:00"/>
    <s v="yes"/>
    <x v="4"/>
    <s v="NA"/>
    <s v="Jackson Allen"/>
    <s v="NA"/>
    <x v="13"/>
  </r>
  <r>
    <x v="65"/>
    <s v="CUST009"/>
    <s v="PROD019"/>
    <x v="4"/>
    <n v="42"/>
    <n v="1"/>
    <n v="42"/>
    <x v="0"/>
    <x v="0"/>
    <s v="DHL"/>
    <x v="58"/>
    <m/>
    <d v="2023-05-21T00:00:00"/>
    <s v="yes"/>
    <x v="2"/>
    <s v="NA"/>
    <s v="Jackson Allen"/>
    <s v="NA"/>
    <x v="6"/>
  </r>
  <r>
    <x v="66"/>
    <s v="CUST050"/>
    <s v="PROD007"/>
    <x v="0"/>
    <n v="31"/>
    <n v="4"/>
    <n v="124"/>
    <x v="1"/>
    <x v="1"/>
    <s v="UPS"/>
    <x v="59"/>
    <d v="2023-07-30T00:00:00"/>
    <m/>
    <s v="No"/>
    <x v="1"/>
    <n v="2"/>
    <e v="#N/A"/>
    <s v="Fast"/>
    <x v="20"/>
  </r>
  <r>
    <x v="67"/>
    <s v="CUST045"/>
    <s v="PROD020"/>
    <x v="4"/>
    <n v="104"/>
    <n v="3"/>
    <n v="312"/>
    <x v="1"/>
    <x v="2"/>
    <s v="UPS"/>
    <x v="42"/>
    <m/>
    <m/>
    <s v="No"/>
    <x v="3"/>
    <s v="NA"/>
    <s v="Emily Johnson"/>
    <s v="NA"/>
    <x v="4"/>
  </r>
  <r>
    <x v="68"/>
    <s v="CUST044"/>
    <s v="PROD010"/>
    <x v="1"/>
    <n v="58"/>
    <n v="2"/>
    <n v="116"/>
    <x v="0"/>
    <x v="0"/>
    <s v="USPS"/>
    <x v="60"/>
    <m/>
    <d v="2023-07-07T00:00:00"/>
    <s v="yes"/>
    <x v="2"/>
    <s v="NA"/>
    <s v="Grace Ward"/>
    <s v="NA"/>
    <x v="3"/>
  </r>
  <r>
    <x v="69"/>
    <s v="CUST009"/>
    <s v="PROD004"/>
    <x v="4"/>
    <n v="62"/>
    <n v="2"/>
    <n v="124"/>
    <x v="4"/>
    <x v="0"/>
    <s v="DHL"/>
    <x v="26"/>
    <m/>
    <d v="2023-10-10T00:00:00"/>
    <s v="yes"/>
    <x v="1"/>
    <s v="NA"/>
    <s v="Jackson Allen"/>
    <s v="NA"/>
    <x v="21"/>
  </r>
  <r>
    <x v="70"/>
    <s v="CUST006"/>
    <s v="PROD019"/>
    <x v="1"/>
    <n v="43"/>
    <n v="1"/>
    <n v="43"/>
    <x v="1"/>
    <x v="1"/>
    <s v="Amazon Logistics"/>
    <x v="42"/>
    <d v="2023-12-25T00:00:00"/>
    <m/>
    <s v="No"/>
    <x v="2"/>
    <n v="7"/>
    <s v="Ava Robinson"/>
    <s v="Slow"/>
    <x v="6"/>
  </r>
  <r>
    <x v="71"/>
    <s v="CUST022"/>
    <s v="PROD004"/>
    <x v="1"/>
    <n v="62"/>
    <n v="4"/>
    <n v="248"/>
    <x v="4"/>
    <x v="2"/>
    <s v="Amazon Logistics"/>
    <x v="61"/>
    <m/>
    <m/>
    <s v="No"/>
    <x v="1"/>
    <s v="NA"/>
    <s v="Elijah Lewis"/>
    <s v="NA"/>
    <x v="21"/>
  </r>
  <r>
    <x v="72"/>
    <s v="CUST028"/>
    <s v="PROD006"/>
    <x v="0"/>
    <n v="95"/>
    <n v="2"/>
    <n v="190"/>
    <x v="2"/>
    <x v="0"/>
    <s v="UPS"/>
    <x v="62"/>
    <m/>
    <d v="2023-07-25T00:00:00"/>
    <s v="yes"/>
    <x v="2"/>
    <s v="NA"/>
    <s v="Lily Bennett"/>
    <s v="NA"/>
    <x v="9"/>
  </r>
  <r>
    <x v="73"/>
    <s v="CUST016"/>
    <s v="PROD021"/>
    <x v="3"/>
    <n v="36"/>
    <n v="4"/>
    <n v="144"/>
    <x v="0"/>
    <x v="1"/>
    <s v="FedEx"/>
    <x v="63"/>
    <d v="2023-01-24T00:00:00"/>
    <m/>
    <s v="No"/>
    <x v="0"/>
    <n v="6"/>
    <s v="Elijah Lewis"/>
    <s v="Slow"/>
    <x v="5"/>
  </r>
  <r>
    <x v="74"/>
    <s v="CUST042"/>
    <s v="PROD017"/>
    <x v="1"/>
    <n v="73"/>
    <n v="5"/>
    <n v="365"/>
    <x v="0"/>
    <x v="2"/>
    <s v="DHL"/>
    <x v="64"/>
    <m/>
    <m/>
    <s v="No"/>
    <x v="3"/>
    <s v="NA"/>
    <s v="Noah Wilson"/>
    <s v="NA"/>
    <x v="10"/>
  </r>
  <r>
    <x v="75"/>
    <s v="CUST023"/>
    <s v="PROD019"/>
    <x v="0"/>
    <n v="43"/>
    <n v="4"/>
    <n v="172"/>
    <x v="4"/>
    <x v="1"/>
    <s v="DHL"/>
    <x v="65"/>
    <d v="2023-09-09T00:00:00"/>
    <m/>
    <s v="No"/>
    <x v="2"/>
    <n v="6"/>
    <s v="Charlotte Reed"/>
    <s v="Slow"/>
    <x v="6"/>
  </r>
  <r>
    <x v="76"/>
    <s v="CUST004"/>
    <s v="PROD016"/>
    <x v="4"/>
    <n v="214"/>
    <n v="5"/>
    <n v="1070"/>
    <x v="4"/>
    <x v="1"/>
    <s v="UPS"/>
    <x v="22"/>
    <d v="2023-11-04T00:00:00"/>
    <m/>
    <s v="No"/>
    <x v="0"/>
    <n v="2"/>
    <s v="Noah Wilson"/>
    <s v="Fast"/>
    <x v="19"/>
  </r>
  <r>
    <x v="77"/>
    <s v="CUST048"/>
    <s v="PROD002"/>
    <x v="3"/>
    <n v="42"/>
    <n v="2"/>
    <n v="84"/>
    <x v="0"/>
    <x v="0"/>
    <s v="UPS"/>
    <x v="66"/>
    <m/>
    <d v="2023-12-06T00:00:00"/>
    <s v="yes"/>
    <x v="1"/>
    <s v="NA"/>
    <s v="Noah Wilson"/>
    <s v="NA"/>
    <x v="15"/>
  </r>
  <r>
    <x v="78"/>
    <s v="CUST048"/>
    <s v="PROD012"/>
    <x v="0"/>
    <n v="46"/>
    <n v="1"/>
    <n v="46"/>
    <x v="3"/>
    <x v="2"/>
    <s v="UPS"/>
    <x v="7"/>
    <m/>
    <m/>
    <s v="No"/>
    <x v="0"/>
    <s v="NA"/>
    <s v="Noah Wilson"/>
    <s v="NA"/>
    <x v="0"/>
  </r>
  <r>
    <x v="79"/>
    <s v="CUST032"/>
    <s v="PROD018"/>
    <x v="1"/>
    <n v="95"/>
    <n v="4"/>
    <n v="380"/>
    <x v="1"/>
    <x v="1"/>
    <s v="UPS"/>
    <x v="67"/>
    <d v="2023-10-19T00:00:00"/>
    <m/>
    <s v="No"/>
    <x v="1"/>
    <n v="3"/>
    <s v="Luke Gray"/>
    <s v="Slow"/>
    <x v="1"/>
  </r>
  <r>
    <x v="80"/>
    <s v="CUST001"/>
    <s v="PROD011"/>
    <x v="4"/>
    <n v="174"/>
    <n v="2"/>
    <n v="348"/>
    <x v="2"/>
    <x v="2"/>
    <s v="UPS"/>
    <x v="68"/>
    <m/>
    <m/>
    <s v="No"/>
    <x v="3"/>
    <s v="NA"/>
    <s v="James Miller"/>
    <s v="NA"/>
    <x v="18"/>
  </r>
  <r>
    <x v="81"/>
    <s v="CUST046"/>
    <s v="PROD005"/>
    <x v="0"/>
    <n v="27"/>
    <n v="5"/>
    <n v="135"/>
    <x v="1"/>
    <x v="0"/>
    <s v="Amazon Logistics"/>
    <x v="30"/>
    <m/>
    <d v="2023-06-18T00:00:00"/>
    <s v="yes"/>
    <x v="2"/>
    <s v="NA"/>
    <s v="Emily Johnson"/>
    <s v="NA"/>
    <x v="11"/>
  </r>
  <r>
    <x v="82"/>
    <s v="CUST021"/>
    <s v="PROD005"/>
    <x v="2"/>
    <n v="27"/>
    <n v="4"/>
    <n v="108"/>
    <x v="2"/>
    <x v="1"/>
    <s v="USPS"/>
    <x v="69"/>
    <d v="2023-10-30T00:00:00"/>
    <m/>
    <s v="No"/>
    <x v="2"/>
    <n v="2"/>
    <s v="Zoe Mitchell"/>
    <s v="Fast"/>
    <x v="11"/>
  </r>
  <r>
    <x v="83"/>
    <s v="CUST015"/>
    <s v="PROD022"/>
    <x v="2"/>
    <n v="65"/>
    <n v="2"/>
    <n v="130"/>
    <x v="2"/>
    <x v="2"/>
    <s v="DHL"/>
    <x v="33"/>
    <m/>
    <m/>
    <s v="No"/>
    <x v="2"/>
    <s v="NA"/>
    <s v="Ava White"/>
    <s v="NA"/>
    <x v="16"/>
  </r>
  <r>
    <x v="84"/>
    <s v="CUST045"/>
    <s v="PROD019"/>
    <x v="1"/>
    <n v="43"/>
    <n v="5"/>
    <n v="215"/>
    <x v="4"/>
    <x v="2"/>
    <s v="DHL"/>
    <x v="61"/>
    <m/>
    <m/>
    <s v="No"/>
    <x v="2"/>
    <s v="NA"/>
    <s v="Emily Johnson"/>
    <s v="NA"/>
    <x v="6"/>
  </r>
  <r>
    <x v="85"/>
    <s v="CUST007"/>
    <s v="PROD016"/>
    <x v="4"/>
    <n v="210"/>
    <n v="1"/>
    <n v="210"/>
    <x v="2"/>
    <x v="2"/>
    <s v="UPS"/>
    <x v="70"/>
    <m/>
    <m/>
    <s v="No"/>
    <x v="0"/>
    <s v="NA"/>
    <s v="Liam Walker"/>
    <s v="NA"/>
    <x v="19"/>
  </r>
  <r>
    <x v="86"/>
    <s v="CUST043"/>
    <s v="PROD021"/>
    <x v="2"/>
    <n v="37"/>
    <n v="3"/>
    <n v="111"/>
    <x v="1"/>
    <x v="2"/>
    <s v="UPS"/>
    <x v="56"/>
    <m/>
    <m/>
    <s v="No"/>
    <x v="0"/>
    <s v="NA"/>
    <s v="Lily Reed"/>
    <s v="NA"/>
    <x v="5"/>
  </r>
  <r>
    <x v="87"/>
    <s v="CUST007"/>
    <s v="PROD001"/>
    <x v="2"/>
    <n v="788"/>
    <n v="4"/>
    <n v="3152"/>
    <x v="4"/>
    <x v="2"/>
    <s v="Amazon Logistics"/>
    <x v="53"/>
    <m/>
    <m/>
    <s v="No"/>
    <x v="3"/>
    <s v="NA"/>
    <s v="Liam Walker"/>
    <s v="NA"/>
    <x v="14"/>
  </r>
  <r>
    <x v="88"/>
    <s v="CUST007"/>
    <s v="PROD016"/>
    <x v="4"/>
    <n v="217"/>
    <n v="5"/>
    <n v="1085"/>
    <x v="4"/>
    <x v="2"/>
    <s v="FedEx"/>
    <x v="71"/>
    <m/>
    <m/>
    <s v="No"/>
    <x v="0"/>
    <s v="NA"/>
    <s v="Liam Walker"/>
    <s v="NA"/>
    <x v="19"/>
  </r>
  <r>
    <x v="89"/>
    <s v="CUST007"/>
    <s v="PROD003"/>
    <x v="4"/>
    <n v="138"/>
    <n v="4"/>
    <n v="552"/>
    <x v="1"/>
    <x v="2"/>
    <s v="FedEx"/>
    <x v="63"/>
    <m/>
    <m/>
    <s v="No"/>
    <x v="0"/>
    <s v="NA"/>
    <s v="Liam Walker"/>
    <s v="NA"/>
    <x v="7"/>
  </r>
  <r>
    <x v="90"/>
    <s v="CUST031"/>
    <s v="PROD001"/>
    <x v="3"/>
    <n v="803"/>
    <n v="2"/>
    <n v="1606"/>
    <x v="0"/>
    <x v="1"/>
    <s v="FedEx"/>
    <x v="72"/>
    <d v="2023-06-29T00:00:00"/>
    <m/>
    <s v="No"/>
    <x v="3"/>
    <n v="6"/>
    <s v="Mason Collins"/>
    <s v="Slow"/>
    <x v="14"/>
  </r>
  <r>
    <x v="91"/>
    <s v="CUST013"/>
    <s v="PROD014"/>
    <x v="0"/>
    <n v="248"/>
    <n v="5"/>
    <n v="1240"/>
    <x v="2"/>
    <x v="0"/>
    <s v="UPS"/>
    <x v="73"/>
    <m/>
    <d v="2023-02-25T00:00:00"/>
    <s v="yes"/>
    <x v="3"/>
    <s v="NA"/>
    <s v="Olivia Martinez"/>
    <s v="NA"/>
    <x v="8"/>
  </r>
  <r>
    <x v="92"/>
    <s v="CUST036"/>
    <s v="PROD016"/>
    <x v="1"/>
    <n v="210"/>
    <n v="3"/>
    <n v="630"/>
    <x v="0"/>
    <x v="1"/>
    <s v="DHL"/>
    <x v="74"/>
    <d v="2023-02-21T00:00:00"/>
    <m/>
    <s v="No"/>
    <x v="0"/>
    <n v="2"/>
    <s v="Ethan Davis"/>
    <s v="Fast"/>
    <x v="19"/>
  </r>
  <r>
    <x v="93"/>
    <s v="CUST013"/>
    <s v="PROD004"/>
    <x v="0"/>
    <n v="62"/>
    <n v="2"/>
    <n v="124"/>
    <x v="1"/>
    <x v="0"/>
    <s v="FedEx"/>
    <x v="75"/>
    <m/>
    <d v="2023-12-12T00:00:00"/>
    <s v="yes"/>
    <x v="1"/>
    <s v="NA"/>
    <s v="Olivia Martinez"/>
    <s v="NA"/>
    <x v="21"/>
  </r>
  <r>
    <x v="94"/>
    <s v="CUST043"/>
    <s v="PROD009"/>
    <x v="2"/>
    <n v="11"/>
    <n v="5"/>
    <n v="55"/>
    <x v="4"/>
    <x v="0"/>
    <s v="Amazon Logistics"/>
    <x v="76"/>
    <m/>
    <d v="2023-06-12T00:00:00"/>
    <s v="yes"/>
    <x v="4"/>
    <s v="NA"/>
    <s v="Lily Reed"/>
    <s v="NA"/>
    <x v="17"/>
  </r>
  <r>
    <x v="95"/>
    <s v="CUST017"/>
    <s v="PROD015"/>
    <x v="0"/>
    <n v="21"/>
    <n v="2"/>
    <n v="42"/>
    <x v="3"/>
    <x v="1"/>
    <s v="UPS"/>
    <x v="77"/>
    <d v="2023-07-12T00:00:00"/>
    <m/>
    <s v="No"/>
    <x v="4"/>
    <n v="3"/>
    <s v="Emma King"/>
    <s v="Slow"/>
    <x v="12"/>
  </r>
  <r>
    <x v="96"/>
    <s v="CUST023"/>
    <s v="PROD018"/>
    <x v="4"/>
    <n v="95"/>
    <n v="5"/>
    <n v="475"/>
    <x v="3"/>
    <x v="1"/>
    <s v="Amazon Logistics"/>
    <x v="78"/>
    <d v="2023-12-26T00:00:00"/>
    <m/>
    <s v="No"/>
    <x v="1"/>
    <n v="3"/>
    <s v="Charlotte Reed"/>
    <s v="Slow"/>
    <x v="1"/>
  </r>
  <r>
    <x v="97"/>
    <s v="CUST044"/>
    <s v="PROD016"/>
    <x v="2"/>
    <n v="215"/>
    <n v="2"/>
    <n v="430"/>
    <x v="2"/>
    <x v="1"/>
    <s v="Amazon Logistics"/>
    <x v="79"/>
    <d v="2023-09-30T00:00:00"/>
    <m/>
    <s v="No"/>
    <x v="0"/>
    <n v="5"/>
    <s v="Grace Ward"/>
    <s v="Slow"/>
    <x v="19"/>
  </r>
  <r>
    <x v="98"/>
    <s v="CUST034"/>
    <s v="PROD019"/>
    <x v="4"/>
    <n v="43"/>
    <n v="5"/>
    <n v="215"/>
    <x v="1"/>
    <x v="0"/>
    <s v="UPS"/>
    <x v="63"/>
    <m/>
    <d v="2023-01-24T00:00:00"/>
    <s v="yes"/>
    <x v="2"/>
    <s v="NA"/>
    <s v="Lily Simmons"/>
    <s v="NA"/>
    <x v="6"/>
  </r>
  <r>
    <x v="99"/>
    <s v="CUST009"/>
    <s v="PROD002"/>
    <x v="4"/>
    <n v="42"/>
    <n v="4"/>
    <n v="168"/>
    <x v="4"/>
    <x v="2"/>
    <s v="DHL"/>
    <x v="80"/>
    <m/>
    <m/>
    <s v="No"/>
    <x v="1"/>
    <s v="NA"/>
    <s v="Jackson Allen"/>
    <s v="NA"/>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C9899A-F76B-499D-A3F4-0330F9419957}"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6">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axis="axisCol" showAll="0">
      <items count="6">
        <item x="4"/>
        <item x="3"/>
        <item x="2"/>
        <item x="0"/>
        <item x="1"/>
        <item t="default"/>
      </items>
    </pivotField>
    <pivotField showAll="0"/>
  </pivotFields>
  <rowFields count="1">
    <field x="3"/>
  </rowFields>
  <rowItems count="6">
    <i>
      <x/>
    </i>
    <i>
      <x v="1"/>
    </i>
    <i>
      <x v="2"/>
    </i>
    <i>
      <x v="3"/>
    </i>
    <i>
      <x v="4"/>
    </i>
    <i t="grand">
      <x/>
    </i>
  </rowItems>
  <colFields count="1">
    <field x="14"/>
  </colFields>
  <colItems count="6">
    <i>
      <x/>
    </i>
    <i>
      <x v="1"/>
    </i>
    <i>
      <x v="2"/>
    </i>
    <i>
      <x v="3"/>
    </i>
    <i>
      <x v="4"/>
    </i>
    <i t="grand">
      <x/>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ACE274-B1EB-4B09-BBA7-2D366059CAFF}"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47E7AA-7AEA-44B1-8F21-C9F936CECC38}"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 firstHeaderRow="1" firstDataRow="1" firstDataCol="1" rowPageCount="2" colPageCount="1"/>
  <pivotFields count="16">
    <pivotField showAll="0"/>
    <pivotField showAll="0"/>
    <pivotField showAll="0"/>
    <pivotField axis="axisRow"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pivotField showAll="0"/>
    <pivotField numFmtId="14" showAll="0"/>
    <pivotField showAll="0"/>
    <pivotField showAll="0"/>
    <pivotField showAll="0"/>
    <pivotField axis="axisPage" showAll="0">
      <items count="6">
        <item x="4"/>
        <item x="3"/>
        <item x="2"/>
        <item x="0"/>
        <item x="1"/>
        <item t="default"/>
      </items>
    </pivotField>
    <pivotField dataField="1" showAll="0"/>
  </pivotFields>
  <rowFields count="1">
    <field x="3"/>
  </rowFields>
  <rowItems count="6">
    <i>
      <x/>
    </i>
    <i>
      <x v="1"/>
    </i>
    <i>
      <x v="2"/>
    </i>
    <i>
      <x v="3"/>
    </i>
    <i>
      <x v="4"/>
    </i>
    <i t="grand">
      <x/>
    </i>
  </rowItems>
  <colItems count="1">
    <i/>
  </colItems>
  <pageFields count="2">
    <pageField fld="7" hier="-1"/>
    <pageField fld="14" hier="-1"/>
  </pageFields>
  <dataFields count="1">
    <dataField name="Average of average delivery time" fld="15" subtotal="average" baseField="3" baseItem="0"/>
  </dataFields>
  <formats count="5">
    <format dxfId="10">
      <pivotArea collapsedLevelsAreSubtotals="1" fieldPosition="0">
        <references count="1">
          <reference field="3" count="1">
            <x v="4"/>
          </reference>
        </references>
      </pivotArea>
    </format>
    <format dxfId="9">
      <pivotArea collapsedLevelsAreSubtotals="1" fieldPosition="0">
        <references count="1">
          <reference field="3" count="1">
            <x v="3"/>
          </reference>
        </references>
      </pivotArea>
    </format>
    <format dxfId="8">
      <pivotArea collapsedLevelsAreSubtotals="1" fieldPosition="0">
        <references count="1">
          <reference field="3" count="1">
            <x v="2"/>
          </reference>
        </references>
      </pivotArea>
    </format>
    <format dxfId="7">
      <pivotArea collapsedLevelsAreSubtotals="1" fieldPosition="0">
        <references count="1">
          <reference field="3" count="1">
            <x v="0"/>
          </reference>
        </references>
      </pivotArea>
    </format>
    <format dxfId="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6F848B-75A4-450F-98EF-9C5104669C09}"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18">
    <pivotField dataField="1" showAll="0"/>
    <pivotField showAll="0"/>
    <pivotField showAll="0"/>
    <pivotField axis="axisRow" showAll="0">
      <items count="6">
        <item x="3"/>
        <item x="1"/>
        <item x="0"/>
        <item x="2"/>
        <item x="4"/>
        <item t="default"/>
      </items>
    </pivotField>
    <pivotField showAll="0"/>
    <pivotField showAll="0"/>
    <pivotField showAll="0"/>
    <pivotField showAll="0">
      <items count="6">
        <item h="1" x="3"/>
        <item h="1" x="0"/>
        <item x="1"/>
        <item h="1" x="4"/>
        <item h="1" x="2"/>
        <item t="default"/>
      </items>
    </pivotField>
    <pivotField showAll="0">
      <items count="4">
        <item x="0"/>
        <item x="1"/>
        <item x="2"/>
        <item t="default"/>
      </items>
    </pivotField>
    <pivotField showAll="0"/>
    <pivotField numFmtId="14" showAll="0"/>
    <pivotField showAll="0"/>
    <pivotField showAll="0"/>
    <pivotField axis="axisCol" showAll="0">
      <items count="3">
        <item x="1"/>
        <item x="0"/>
        <item t="default"/>
      </items>
    </pivotField>
    <pivotField showAll="0"/>
    <pivotField showAll="0"/>
    <pivotField showAll="0"/>
    <pivotField showAll="0"/>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199859-4091-4DA8-B51F-0AAC50BA1AA6}" name="PivotTable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showAll="0"/>
    <pivotField showAll="0">
      <items count="6">
        <item x="3"/>
        <item x="1"/>
        <item x="0"/>
        <item x="2"/>
        <item x="4"/>
        <item t="default"/>
      </items>
    </pivotField>
    <pivotField showAll="0"/>
    <pivotField showAll="0"/>
    <pivotField dataField="1" showAll="0"/>
    <pivotField showAll="0">
      <items count="6">
        <item h="1" x="3"/>
        <item h="1" x="0"/>
        <item x="1"/>
        <item h="1" x="4"/>
        <item h="1" x="2"/>
        <item t="default"/>
      </items>
    </pivotField>
    <pivotField axis="axisRow" showAll="0">
      <items count="4">
        <item x="0"/>
        <item x="1"/>
        <item x="2"/>
        <item t="default"/>
      </items>
    </pivotField>
    <pivotField showAll="0"/>
    <pivotField numFmtId="14"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1D1016-984E-4D44-905C-7FE429641049}" name="PivotTable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items count="6">
        <item x="3"/>
        <item x="1"/>
        <item x="0"/>
        <item x="2"/>
        <item x="4"/>
        <item t="default"/>
      </items>
    </pivotField>
    <pivotField showAll="0"/>
    <pivotField showAll="0"/>
    <pivotField dataField="1" showAll="0"/>
    <pivotField showAll="0">
      <items count="6">
        <item h="1" x="3"/>
        <item h="1" x="0"/>
        <item x="1"/>
        <item h="1" x="4"/>
        <item h="1"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754E7C-8EC3-4E67-AFFB-6AD18A686C81}" name="PivotTable7"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18">
    <pivotField dataField="1" showAll="0"/>
    <pivotField showAll="0"/>
    <pivotField showAll="0"/>
    <pivotField showAll="0">
      <items count="6">
        <item x="3"/>
        <item x="1"/>
        <item x="0"/>
        <item x="2"/>
        <item x="4"/>
        <item t="default"/>
      </items>
    </pivotField>
    <pivotField showAll="0"/>
    <pivotField showAll="0"/>
    <pivotField showAll="0"/>
    <pivotField showAll="0">
      <items count="6">
        <item h="1" x="3"/>
        <item h="1" x="0"/>
        <item x="1"/>
        <item h="1" x="4"/>
        <item h="1"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axis="axisCol" showAll="0">
      <items count="4">
        <item x="1"/>
        <item x="0"/>
        <item x="2"/>
        <item t="default"/>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20A74C-A688-4B68-824E-6CC16D92BD36}" name="PivotTable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8">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h="1" x="3"/>
        <item h="1" x="0"/>
        <item x="1"/>
        <item h="1" x="4"/>
        <item h="1"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9C0EFA-EF6C-41CD-80C0-F007353D66C3}"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5">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8"/>
  </rowFields>
  <rowItems count="3">
    <i>
      <x v="11"/>
    </i>
    <i>
      <x v="19"/>
    </i>
    <i t="grand">
      <x/>
    </i>
  </rowItems>
  <colItems count="1">
    <i/>
  </colItems>
  <dataFields count="1">
    <dataField name="Count of Total Amount" fld="6" subtotal="count" baseField="18" baseItem="0"/>
  </dataFields>
  <pivotTableStyleInfo name="PivotStyleLight16" showRowHeaders="1" showColHeaders="1" showRowStripes="0" showColStripes="0" showLastColumn="1"/>
  <filters count="1">
    <filter fld="1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DB24AD-43F3-45D4-885E-4719C91C58F8}"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B3:E9" firstHeaderRow="0" firstDataRow="1" firstDataCol="1"/>
  <pivotFields count="25">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1">
    <field x="3"/>
  </rowFields>
  <rowItems count="6">
    <i>
      <x/>
    </i>
    <i>
      <x v="1"/>
    </i>
    <i>
      <x v="2"/>
    </i>
    <i>
      <x v="3"/>
    </i>
    <i>
      <x v="4"/>
    </i>
    <i t="grand">
      <x/>
    </i>
  </rowItems>
  <colFields count="1">
    <field x="-2"/>
  </colFields>
  <colItems count="3">
    <i>
      <x/>
    </i>
    <i i="1">
      <x v="1"/>
    </i>
    <i i="2">
      <x v="2"/>
    </i>
  </colItems>
  <dataFields count="3">
    <dataField name="Sum of Total Amount" fld="6" baseField="0" baseItem="0"/>
    <dataField name="Sum of High " fld="23" baseField="0" baseItem="0"/>
    <dataField name="Sum of Low " fld="24" baseField="0" baseItem="0"/>
  </dataFields>
  <conditionalFormats count="1">
    <conditionalFormat priority="2">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19">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4" format="2" series="1">
      <pivotArea type="data" outline="0" fieldPosition="0">
        <references count="1">
          <reference field="4294967294" count="1" selected="0">
            <x v="2"/>
          </reference>
        </references>
      </pivotArea>
    </chartFormat>
    <chartFormat chart="45" format="3"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1"/>
          </reference>
        </references>
      </pivotArea>
    </chartFormat>
    <chartFormat chart="45" format="5" series="1">
      <pivotArea type="data" outline="0" fieldPosition="0">
        <references count="1">
          <reference field="4294967294" count="1" selected="0">
            <x v="2"/>
          </reference>
        </references>
      </pivotArea>
    </chartFormat>
    <chartFormat chart="46" format="6"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1"/>
          </reference>
        </references>
      </pivotArea>
    </chartFormat>
    <chartFormat chart="46" format="8" series="1">
      <pivotArea type="data" outline="0" fieldPosition="0">
        <references count="1">
          <reference field="4294967294" count="1" selected="0">
            <x v="2"/>
          </reference>
        </references>
      </pivotArea>
    </chartFormat>
    <chartFormat chart="46" format="9">
      <pivotArea type="data" outline="0" fieldPosition="0">
        <references count="2">
          <reference field="4294967294" count="1" selected="0">
            <x v="2"/>
          </reference>
          <reference field="3" count="1" selected="0">
            <x v="0"/>
          </reference>
        </references>
      </pivotArea>
    </chartFormat>
    <chartFormat chart="46" format="10">
      <pivotArea type="data" outline="0" fieldPosition="0">
        <references count="2">
          <reference field="4294967294" count="1" selected="0">
            <x v="2"/>
          </reference>
          <reference field="3" count="1" selected="0">
            <x v="1"/>
          </reference>
        </references>
      </pivotArea>
    </chartFormat>
    <chartFormat chart="46" format="11">
      <pivotArea type="data" outline="0" fieldPosition="0">
        <references count="2">
          <reference field="4294967294" count="1" selected="0">
            <x v="1"/>
          </reference>
          <reference field="3" count="1" selected="0">
            <x v="2"/>
          </reference>
        </references>
      </pivotArea>
    </chartFormat>
    <chartFormat chart="46" format="12">
      <pivotArea type="data" outline="0" fieldPosition="0">
        <references count="2">
          <reference field="4294967294" count="1" selected="0">
            <x v="0"/>
          </reference>
          <reference field="3" count="1" selected="0">
            <x v="2"/>
          </reference>
        </references>
      </pivotArea>
    </chartFormat>
    <chartFormat chart="46" format="13">
      <pivotArea type="data" outline="0" fieldPosition="0">
        <references count="2">
          <reference field="4294967294" count="1" selected="0">
            <x v="1"/>
          </reference>
          <reference field="3" count="1" selected="0">
            <x v="3"/>
          </reference>
        </references>
      </pivotArea>
    </chartFormat>
    <chartFormat chart="46" format="14">
      <pivotArea type="data" outline="0" fieldPosition="0">
        <references count="2">
          <reference field="4294967294" count="1" selected="0">
            <x v="0"/>
          </reference>
          <reference field="3" count="1" selected="0">
            <x v="3"/>
          </reference>
        </references>
      </pivotArea>
    </chartFormat>
    <chartFormat chart="46" format="15">
      <pivotArea type="data" outline="0" fieldPosition="0">
        <references count="2">
          <reference field="4294967294" count="1" selected="0">
            <x v="1"/>
          </reference>
          <reference field="3" count="1" selected="0">
            <x v="4"/>
          </reference>
        </references>
      </pivotArea>
    </chartFormat>
    <chartFormat chart="46" format="16">
      <pivotArea type="data" outline="0" fieldPosition="0">
        <references count="2">
          <reference field="4294967294" count="1" selected="0">
            <x v="2"/>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ED425C-47A6-4F02-B1B3-4EA304F339BB}"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B5:D11" firstHeaderRow="0" firstDataRow="1" firstDataCol="1"/>
  <pivotFields count="25">
    <pivotField showAll="0"/>
    <pivotField showAll="0"/>
    <pivotField showAll="0"/>
    <pivotField showAll="0">
      <items count="6">
        <item x="3"/>
        <item x="1"/>
        <item x="0"/>
        <item x="2"/>
        <item x="4"/>
        <item t="default"/>
      </items>
    </pivotField>
    <pivotField showAll="0"/>
    <pivotField showAll="0"/>
    <pivotField showAll="0"/>
    <pivotField axis="axisRow"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Fields count="1">
    <field x="-2"/>
  </colFields>
  <colItems count="2">
    <i>
      <x/>
    </i>
    <i i="1">
      <x v="1"/>
    </i>
  </colItems>
  <dataFields count="2">
    <dataField name="Sum of HIGH" fld="21" baseField="0" baseItem="0"/>
    <dataField name="Sum of Low" fld="22" baseField="0" baseItem="0"/>
  </dataFields>
  <chartFormats count="4">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10EE04-222F-40B4-8EFC-C4C4B3559161}"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6:F12" firstHeaderRow="1" firstDataRow="1" firstDataCol="1"/>
  <pivotFields count="25">
    <pivotField showAll="0"/>
    <pivotField showAll="0"/>
    <pivotField showAll="0"/>
    <pivotField showAll="0">
      <items count="6">
        <item x="3"/>
        <item x="1"/>
        <item x="0"/>
        <item x="2"/>
        <item x="4"/>
        <item t="default"/>
      </items>
    </pivotField>
    <pivotField showAll="0"/>
    <pivotField showAll="0"/>
    <pivotField dataField="1" showAll="0"/>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4"/>
    </i>
    <i>
      <x v="3"/>
    </i>
    <i>
      <x v="2"/>
    </i>
    <i t="grand">
      <x/>
    </i>
  </rowItems>
  <colItems count="1">
    <i/>
  </colItems>
  <dataFields count="1">
    <dataField name="Sum of Total Amount" fld="6" baseField="0" baseItem="0"/>
  </dataFields>
  <conditionalFormats count="1">
    <conditionalFormat priority="2">
      <pivotAreas count="1">
        <pivotArea type="data" collapsedLevelsAreSubtotals="1" fieldPosition="0">
          <references count="2">
            <reference field="4294967294" count="1" selected="0">
              <x v="0"/>
            </reference>
            <reference field="7"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6198520-3CF0-4BB6-B94D-0A86BB8A9D49}"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6:C29" firstHeaderRow="1" firstDataRow="1" firstDataCol="1"/>
  <pivotFields count="25">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13">
    <i>
      <x v="1"/>
    </i>
    <i>
      <x v="2"/>
    </i>
    <i>
      <x v="3"/>
    </i>
    <i>
      <x v="4"/>
    </i>
    <i>
      <x v="5"/>
    </i>
    <i>
      <x v="6"/>
    </i>
    <i>
      <x v="7"/>
    </i>
    <i>
      <x v="8"/>
    </i>
    <i>
      <x v="9"/>
    </i>
    <i>
      <x v="10"/>
    </i>
    <i>
      <x v="11"/>
    </i>
    <i>
      <x v="12"/>
    </i>
    <i t="grand">
      <x/>
    </i>
  </rowItems>
  <colItems count="1">
    <i/>
  </colItems>
  <dataFields count="1">
    <dataField name="Sum of Total Amoun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D2F562-7EC3-47E7-8D71-2DFB09C5D71C}" name="PivotTable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3:H14" firstHeaderRow="1" firstDataRow="1" firstDataCol="0"/>
  <pivotFields count="25">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8355B24-D891-4B5F-9A3A-4BE3DC56A5CE}"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6:I10" firstHeaderRow="1" firstDataRow="1" firstDataCol="1"/>
  <pivotFields count="25">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4">
    <i>
      <x/>
    </i>
    <i>
      <x v="1"/>
    </i>
    <i>
      <x v="2"/>
    </i>
    <i t="grand">
      <x/>
    </i>
  </rowItems>
  <colItems count="1">
    <i/>
  </colItems>
  <dataFields count="1">
    <dataField name="Count of Order ID" fld="0" subtotal="count" baseField="0" baseItem="0"/>
  </dataFields>
  <chartFormats count="4">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8" count="1" selected="0">
            <x v="0"/>
          </reference>
        </references>
      </pivotArea>
    </chartFormat>
    <chartFormat chart="12" format="7">
      <pivotArea type="data" outline="0" fieldPosition="0">
        <references count="2">
          <reference field="4294967294" count="1" selected="0">
            <x v="0"/>
          </reference>
          <reference field="8" count="1" selected="0">
            <x v="1"/>
          </reference>
        </references>
      </pivotArea>
    </chartFormat>
    <chartFormat chart="1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27749FD-07F6-499B-8AAD-6B55288E5395}" name="PivotTable7"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7:H18" firstHeaderRow="1" firstDataRow="1" firstDataCol="0"/>
  <pivotFields count="25">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DB98BA3-1D64-4DA7-BF20-1210C13901B0}" name="PivotTable8"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1:H22" firstHeaderRow="1" firstDataRow="1" firstDataCol="0"/>
  <pivotFields count="25">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average delivery time" fld="15"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FB0694-B9B0-474C-9226-9FC0A8B01AB2}"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6:C12" firstHeaderRow="1" firstDataRow="1" firstDataCol="1"/>
  <pivotFields count="25">
    <pivotField showAll="0"/>
    <pivotField showAll="0"/>
    <pivotField showAll="0"/>
    <pivotField axis="axisRow" showAll="0" sortType="a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1"/>
    </i>
    <i>
      <x/>
    </i>
    <i>
      <x v="3"/>
    </i>
    <i>
      <x v="4"/>
    </i>
    <i>
      <x v="2"/>
    </i>
    <i t="grand">
      <x/>
    </i>
  </rowItems>
  <colItems count="1">
    <i/>
  </colItems>
  <dataFields count="1">
    <dataField name="Sum of Total Amount" fld="6" baseField="0" baseItem="0"/>
  </dataFields>
  <conditionalFormats count="1">
    <conditionalFormat priority="3">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4E5492E-5FC1-4530-BDEB-45A5F484E74D}"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5:I29" firstHeaderRow="1" firstDataRow="1" firstDataCol="1"/>
  <pivotFields count="25">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4">
    <i>
      <x/>
    </i>
    <i>
      <x v="1"/>
    </i>
    <i>
      <x v="2"/>
    </i>
    <i t="grand">
      <x/>
    </i>
  </rowItems>
  <colItems count="1">
    <i/>
  </colItems>
  <dataFields count="1">
    <dataField name="Count of Order ID" fld="0" subtotal="count" showDataAs="percentOfTotal" baseField="0" baseItem="0" numFmtId="10"/>
  </dataFields>
  <formats count="2">
    <format dxfId="5">
      <pivotArea outline="0" collapsedLevelsAreSubtotals="1"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59E8AD3-F4DE-4E87-8E38-FECDC4076DE7}" name="PivotTable7"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18:C24" firstHeaderRow="1" firstDataRow="1" firstDataCol="1"/>
  <pivotFields count="25">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dataField="1" showAll="0"/>
    <pivotField showAll="0">
      <items count="6">
        <item x="1"/>
        <item x="0"/>
        <item x="2"/>
        <item x="3"/>
        <item x="4"/>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2"/>
    </i>
    <i>
      <x v="4"/>
    </i>
    <i>
      <x v="3"/>
    </i>
    <i>
      <x v="1"/>
    </i>
    <i>
      <x/>
    </i>
    <i t="grand">
      <x/>
    </i>
  </rowItems>
  <colItems count="1">
    <i/>
  </colItems>
  <dataFields count="1">
    <dataField name="Count of If Cancelle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5E1845F-F153-429C-A5F9-A25CA42C3964}" name="PivotTable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8:C14" firstHeaderRow="1" firstDataRow="1" firstDataCol="1"/>
  <pivotFields count="25">
    <pivotField showAll="0"/>
    <pivotField showAll="0"/>
    <pivotField showAll="0"/>
    <pivotField showAll="0">
      <items count="6">
        <item x="3"/>
        <item x="1"/>
        <item x="0"/>
        <item x="2"/>
        <item x="4"/>
        <item t="default"/>
      </items>
    </pivotField>
    <pivotField showAll="0"/>
    <pivotField showAll="0"/>
    <pivotField dataField="1" showAll="0"/>
    <pivotField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6">
    <i>
      <x v="3"/>
    </i>
    <i>
      <x v="1"/>
    </i>
    <i>
      <x v="2"/>
    </i>
    <i>
      <x/>
    </i>
    <i>
      <x v="4"/>
    </i>
    <i t="grand">
      <x/>
    </i>
  </rowItems>
  <colItems count="1">
    <i/>
  </colItems>
  <dataFields count="1">
    <dataField name="Sum of Total Amount" fld="6"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9FBACB3C-1CBB-47C3-8EB9-B880810C99B7}" sourceName="Delivery Status">
  <pivotTables>
    <pivotTable tabId="19" name="PivotTable1"/>
    <pivotTable tabId="15" name="PivotTable9"/>
    <pivotTable tabId="19" name="PivotTable2"/>
    <pivotTable tabId="19" name="PivotTable3"/>
    <pivotTable tabId="19" name="PivotTable4"/>
    <pivotTable tabId="19" name="PivotTable5"/>
    <pivotTable tabId="19" name="PivotTable7"/>
    <pivotTable tabId="19" name="PivotTable8"/>
    <pivotTable tabId="19" name="PivotTable9"/>
    <pivotTable tabId="20" name="PivotTable6"/>
    <pivotTable tabId="20" name="PivotTable7"/>
    <pivotTable tabId="21" name="PivotTable1"/>
    <pivotTable tabId="22" name="PivotTable2"/>
  </pivotTables>
  <data>
    <tabular pivotCacheId="209733225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EB344D7C-AC17-45CC-AF6D-068BAE23B9A5}" sourceName="Payment Method">
  <pivotTables>
    <pivotTable tabId="19" name="PivotTable1"/>
    <pivotTable tabId="15" name="PivotTable9"/>
    <pivotTable tabId="19" name="PivotTable2"/>
    <pivotTable tabId="19" name="PivotTable3"/>
    <pivotTable tabId="19" name="PivotTable4"/>
    <pivotTable tabId="19" name="PivotTable5"/>
    <pivotTable tabId="19" name="PivotTable7"/>
    <pivotTable tabId="19" name="PivotTable8"/>
    <pivotTable tabId="19" name="PivotTable9"/>
    <pivotTable tabId="20" name="PivotTable6"/>
    <pivotTable tabId="20" name="PivotTable7"/>
    <pivotTable tabId="21" name="PivotTable1"/>
    <pivotTable tabId="22" name="PivotTable2"/>
  </pivotTables>
  <data>
    <tabular pivotCacheId="2097332255">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B8021AC-A5F9-4503-808A-FA1ECED2329E}" sourceName="Region">
  <pivotTables>
    <pivotTable tabId="19" name="PivotTable1"/>
    <pivotTable tabId="15" name="PivotTable9"/>
    <pivotTable tabId="19" name="PivotTable2"/>
    <pivotTable tabId="19" name="PivotTable3"/>
    <pivotTable tabId="19" name="PivotTable4"/>
    <pivotTable tabId="19" name="PivotTable5"/>
    <pivotTable tabId="19" name="PivotTable7"/>
    <pivotTable tabId="19" name="PivotTable8"/>
    <pivotTable tabId="19" name="PivotTable9"/>
    <pivotTable tabId="20" name="PivotTable6"/>
    <pivotTable tabId="20" name="PivotTable7"/>
    <pivotTable tabId="21" name="PivotTable1"/>
    <pivotTable tabId="22" name="PivotTable2"/>
  </pivotTables>
  <data>
    <tabular pivotCacheId="2097332255">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1" xr10:uid="{69624E3E-193C-4502-8A9A-670A4CA63416}" cache="Slicer_Delivery_Status1" caption="Delivery Status" style="SlicerStyleDark1" rowHeight="234950"/>
  <slicer name="Payment Method 1" xr10:uid="{CB58174D-C40C-482D-BEA7-2395114600BF}" cache="Slicer_Payment_Method1" caption="Payment Method" style="SlicerStyleDark1" rowHeight="234950"/>
  <slicer name="Region 1" xr10:uid="{1CAD5F61-CFF6-410E-8F28-1E1B3834DFD8}" cache="Slicer_Region1" caption="Region" style="SlicerStyleDark1" rowHeight="234950"/>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9"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BE3B-6C92-47FC-B81D-5AC2CCFBA443}">
  <dimension ref="A3:G10"/>
  <sheetViews>
    <sheetView workbookViewId="0">
      <selection activeCell="B29" sqref="B29"/>
    </sheetView>
  </sheetViews>
  <sheetFormatPr defaultRowHeight="14.4" x14ac:dyDescent="0.3"/>
  <cols>
    <col min="1" max="1" width="19.21875" bestFit="1" customWidth="1"/>
    <col min="2" max="2" width="15.5546875" bestFit="1" customWidth="1"/>
    <col min="3" max="3" width="10" bestFit="1" customWidth="1"/>
    <col min="4" max="4" width="7.44140625" bestFit="1" customWidth="1"/>
    <col min="5" max="5" width="6" bestFit="1" customWidth="1"/>
    <col min="6" max="6" width="5" bestFit="1" customWidth="1"/>
    <col min="7" max="7" width="10.77734375" bestFit="1" customWidth="1"/>
  </cols>
  <sheetData>
    <row r="3" spans="1:7" x14ac:dyDescent="0.3">
      <c r="A3" s="11" t="s">
        <v>316</v>
      </c>
      <c r="B3" s="11" t="s">
        <v>319</v>
      </c>
    </row>
    <row r="4" spans="1:7" x14ac:dyDescent="0.3">
      <c r="A4" s="11" t="s">
        <v>314</v>
      </c>
      <c r="B4" t="s">
        <v>218</v>
      </c>
      <c r="C4" t="s">
        <v>200</v>
      </c>
      <c r="D4" t="s">
        <v>211</v>
      </c>
      <c r="E4" t="s">
        <v>206</v>
      </c>
      <c r="F4" t="s">
        <v>203</v>
      </c>
      <c r="G4" t="s">
        <v>315</v>
      </c>
    </row>
    <row r="5" spans="1:7" x14ac:dyDescent="0.3">
      <c r="A5" s="12" t="s">
        <v>30</v>
      </c>
      <c r="B5">
        <v>84</v>
      </c>
      <c r="C5">
        <v>2662</v>
      </c>
      <c r="D5">
        <v>210</v>
      </c>
      <c r="E5">
        <v>2063</v>
      </c>
      <c r="F5">
        <v>437</v>
      </c>
      <c r="G5">
        <v>5456</v>
      </c>
    </row>
    <row r="6" spans="1:7" x14ac:dyDescent="0.3">
      <c r="A6" s="12" t="s">
        <v>17</v>
      </c>
      <c r="B6">
        <v>394</v>
      </c>
      <c r="C6">
        <v>365</v>
      </c>
      <c r="D6">
        <v>711</v>
      </c>
      <c r="E6">
        <v>741</v>
      </c>
      <c r="F6">
        <v>1424</v>
      </c>
      <c r="G6">
        <v>3635</v>
      </c>
    </row>
    <row r="7" spans="1:7" x14ac:dyDescent="0.3">
      <c r="A7" s="12" t="s">
        <v>12</v>
      </c>
      <c r="B7">
        <v>464</v>
      </c>
      <c r="C7">
        <v>6522</v>
      </c>
      <c r="D7">
        <v>788</v>
      </c>
      <c r="E7">
        <v>2131</v>
      </c>
      <c r="F7">
        <v>586</v>
      </c>
      <c r="G7">
        <v>10491</v>
      </c>
    </row>
    <row r="8" spans="1:7" x14ac:dyDescent="0.3">
      <c r="A8" s="12" t="s">
        <v>21</v>
      </c>
      <c r="B8">
        <v>423</v>
      </c>
      <c r="C8">
        <v>3938</v>
      </c>
      <c r="D8">
        <v>1032</v>
      </c>
      <c r="E8">
        <v>1881</v>
      </c>
      <c r="F8">
        <v>43</v>
      </c>
      <c r="G8">
        <v>7317</v>
      </c>
    </row>
    <row r="9" spans="1:7" x14ac:dyDescent="0.3">
      <c r="A9" s="12" t="s">
        <v>33</v>
      </c>
      <c r="B9">
        <v>350</v>
      </c>
      <c r="C9">
        <v>1722</v>
      </c>
      <c r="D9">
        <v>1131</v>
      </c>
      <c r="E9">
        <v>4135</v>
      </c>
      <c r="F9">
        <v>1021</v>
      </c>
      <c r="G9">
        <v>8359</v>
      </c>
    </row>
    <row r="10" spans="1:7" x14ac:dyDescent="0.3">
      <c r="A10" s="12" t="s">
        <v>315</v>
      </c>
      <c r="B10">
        <v>1715</v>
      </c>
      <c r="C10">
        <v>15209</v>
      </c>
      <c r="D10">
        <v>3872</v>
      </c>
      <c r="E10">
        <v>10951</v>
      </c>
      <c r="F10">
        <v>3511</v>
      </c>
      <c r="G10">
        <v>35258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BCFB8-6515-4F49-A607-61874D9216DA}">
  <dimension ref="A3:B7"/>
  <sheetViews>
    <sheetView workbookViewId="0">
      <selection activeCell="C28" sqref="C28"/>
    </sheetView>
  </sheetViews>
  <sheetFormatPr defaultRowHeight="14.4" x14ac:dyDescent="0.3"/>
  <cols>
    <col min="1" max="1" width="12.5546875" bestFit="1" customWidth="1"/>
    <col min="2" max="2" width="15.88671875" bestFit="1" customWidth="1"/>
  </cols>
  <sheetData>
    <row r="3" spans="1:2" x14ac:dyDescent="0.3">
      <c r="A3" s="11" t="s">
        <v>314</v>
      </c>
      <c r="B3" t="s">
        <v>317</v>
      </c>
    </row>
    <row r="4" spans="1:2" x14ac:dyDescent="0.3">
      <c r="A4" s="12" t="s">
        <v>14</v>
      </c>
      <c r="B4">
        <v>30</v>
      </c>
    </row>
    <row r="5" spans="1:2" x14ac:dyDescent="0.3">
      <c r="A5" s="12" t="s">
        <v>19</v>
      </c>
      <c r="B5">
        <v>34</v>
      </c>
    </row>
    <row r="6" spans="1:2" x14ac:dyDescent="0.3">
      <c r="A6" s="12" t="s">
        <v>22</v>
      </c>
      <c r="B6">
        <v>36</v>
      </c>
    </row>
    <row r="7" spans="1:2" x14ac:dyDescent="0.3">
      <c r="A7" s="12" t="s">
        <v>315</v>
      </c>
      <c r="B7">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26FB-3302-4436-A302-A285E31D27D2}">
  <dimension ref="A1:B10"/>
  <sheetViews>
    <sheetView workbookViewId="0">
      <selection activeCell="B10" sqref="B10"/>
    </sheetView>
  </sheetViews>
  <sheetFormatPr defaultRowHeight="14.4" x14ac:dyDescent="0.3"/>
  <cols>
    <col min="1" max="1" width="15.21875" bestFit="1" customWidth="1"/>
    <col min="2" max="2" width="29" bestFit="1" customWidth="1"/>
  </cols>
  <sheetData>
    <row r="1" spans="1:2" x14ac:dyDescent="0.3">
      <c r="A1" s="11" t="s">
        <v>5</v>
      </c>
      <c r="B1" t="s">
        <v>318</v>
      </c>
    </row>
    <row r="2" spans="1:2" x14ac:dyDescent="0.3">
      <c r="A2" s="11" t="s">
        <v>313</v>
      </c>
      <c r="B2" t="s">
        <v>318</v>
      </c>
    </row>
    <row r="4" spans="1:2" x14ac:dyDescent="0.3">
      <c r="A4" s="11" t="s">
        <v>314</v>
      </c>
      <c r="B4" t="s">
        <v>320</v>
      </c>
    </row>
    <row r="5" spans="1:2" x14ac:dyDescent="0.3">
      <c r="A5" s="12" t="s">
        <v>30</v>
      </c>
      <c r="B5" s="16">
        <v>4.2</v>
      </c>
    </row>
    <row r="6" spans="1:2" x14ac:dyDescent="0.3">
      <c r="A6" s="12" t="s">
        <v>17</v>
      </c>
      <c r="B6">
        <v>4.25</v>
      </c>
    </row>
    <row r="7" spans="1:2" x14ac:dyDescent="0.3">
      <c r="A7" s="12" t="s">
        <v>12</v>
      </c>
      <c r="B7" s="16">
        <v>3.625</v>
      </c>
    </row>
    <row r="8" spans="1:2" x14ac:dyDescent="0.3">
      <c r="A8" s="12" t="s">
        <v>21</v>
      </c>
      <c r="B8" s="16">
        <v>3.3333333333333335</v>
      </c>
    </row>
    <row r="9" spans="1:2" x14ac:dyDescent="0.3">
      <c r="A9" s="12" t="s">
        <v>33</v>
      </c>
      <c r="B9" s="16">
        <v>3.4285714285714284</v>
      </c>
    </row>
    <row r="10" spans="1:2" x14ac:dyDescent="0.3">
      <c r="A10" s="12" t="s">
        <v>315</v>
      </c>
      <c r="B10" s="16">
        <v>3.7647058823529411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1475D-6F18-4F2A-93AB-60904448D476}">
  <dimension ref="A3:E10"/>
  <sheetViews>
    <sheetView workbookViewId="0">
      <selection activeCell="A5" sqref="A5"/>
    </sheetView>
  </sheetViews>
  <sheetFormatPr defaultRowHeight="14.4" x14ac:dyDescent="0.3"/>
  <cols>
    <col min="1" max="1" width="15.88671875" bestFit="1" customWidth="1"/>
    <col min="2" max="2" width="15.5546875" bestFit="1" customWidth="1"/>
    <col min="3" max="3" width="3.77734375" bestFit="1" customWidth="1"/>
    <col min="4" max="4" width="10.77734375" bestFit="1" customWidth="1"/>
  </cols>
  <sheetData>
    <row r="3" spans="1:5" x14ac:dyDescent="0.3">
      <c r="A3" s="11" t="s">
        <v>317</v>
      </c>
      <c r="B3" s="11" t="s">
        <v>319</v>
      </c>
    </row>
    <row r="4" spans="1:5" x14ac:dyDescent="0.3">
      <c r="A4" s="11" t="s">
        <v>314</v>
      </c>
      <c r="B4" t="s">
        <v>322</v>
      </c>
      <c r="C4" t="s">
        <v>323</v>
      </c>
      <c r="D4" t="s">
        <v>315</v>
      </c>
    </row>
    <row r="5" spans="1:5" x14ac:dyDescent="0.3">
      <c r="A5" s="12" t="s">
        <v>30</v>
      </c>
      <c r="B5">
        <v>9</v>
      </c>
      <c r="C5">
        <v>5</v>
      </c>
      <c r="D5">
        <v>14</v>
      </c>
      <c r="E5" s="13">
        <f>C5/D5</f>
        <v>0.35714285714285715</v>
      </c>
    </row>
    <row r="6" spans="1:5" x14ac:dyDescent="0.3">
      <c r="A6" s="12" t="s">
        <v>17</v>
      </c>
      <c r="B6">
        <v>15</v>
      </c>
      <c r="C6">
        <v>3</v>
      </c>
      <c r="D6">
        <v>18</v>
      </c>
      <c r="E6" s="13">
        <f t="shared" ref="E6:E9" si="0">C6/D6</f>
        <v>0.16666666666666666</v>
      </c>
    </row>
    <row r="7" spans="1:5" x14ac:dyDescent="0.3">
      <c r="A7" s="12" t="s">
        <v>12</v>
      </c>
      <c r="B7">
        <v>15</v>
      </c>
      <c r="C7">
        <v>10</v>
      </c>
      <c r="D7">
        <v>25</v>
      </c>
      <c r="E7" s="13">
        <f t="shared" si="0"/>
        <v>0.4</v>
      </c>
    </row>
    <row r="8" spans="1:5" x14ac:dyDescent="0.3">
      <c r="A8" s="12" t="s">
        <v>21</v>
      </c>
      <c r="B8">
        <v>16</v>
      </c>
      <c r="C8">
        <v>4</v>
      </c>
      <c r="D8">
        <v>20</v>
      </c>
      <c r="E8" s="13">
        <f t="shared" si="0"/>
        <v>0.2</v>
      </c>
    </row>
    <row r="9" spans="1:5" x14ac:dyDescent="0.3">
      <c r="A9" s="12" t="s">
        <v>33</v>
      </c>
      <c r="B9">
        <v>15</v>
      </c>
      <c r="C9">
        <v>8</v>
      </c>
      <c r="D9">
        <v>23</v>
      </c>
      <c r="E9" s="13">
        <f t="shared" si="0"/>
        <v>0.34782608695652173</v>
      </c>
    </row>
    <row r="10" spans="1:5" x14ac:dyDescent="0.3">
      <c r="A10" s="12" t="s">
        <v>315</v>
      </c>
      <c r="B10">
        <v>70</v>
      </c>
      <c r="C10">
        <v>30</v>
      </c>
      <c r="D10">
        <v>100</v>
      </c>
      <c r="E10"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ED0A-6DE0-4F54-8133-C7B322F23E4D}">
  <dimension ref="A3:B7"/>
  <sheetViews>
    <sheetView workbookViewId="0">
      <selection activeCell="A5" sqref="A5:B5"/>
      <pivotSelection pane="bottomRight" showHeader="1" extendable="1" axis="axisRow" start="1" max="4" activeRow="4" previousRow="4" click="1" r:id="rId1">
        <pivotArea dataOnly="0" fieldPosition="0">
          <references count="1">
            <reference field="8" count="1">
              <x v="1"/>
            </reference>
          </references>
        </pivotArea>
      </pivotSelection>
    </sheetView>
  </sheetViews>
  <sheetFormatPr defaultRowHeight="14.4" x14ac:dyDescent="0.3"/>
  <cols>
    <col min="1" max="1" width="12.5546875" bestFit="1" customWidth="1"/>
    <col min="2" max="2" width="19.21875" bestFit="1" customWidth="1"/>
  </cols>
  <sheetData>
    <row r="3" spans="1:2" x14ac:dyDescent="0.3">
      <c r="A3" s="11" t="s">
        <v>314</v>
      </c>
      <c r="B3" t="s">
        <v>316</v>
      </c>
    </row>
    <row r="4" spans="1:2" x14ac:dyDescent="0.3">
      <c r="A4" s="12" t="s">
        <v>14</v>
      </c>
      <c r="B4">
        <v>6961</v>
      </c>
    </row>
    <row r="5" spans="1:2" x14ac:dyDescent="0.3">
      <c r="A5" s="12" t="s">
        <v>19</v>
      </c>
      <c r="B5">
        <v>13656</v>
      </c>
    </row>
    <row r="6" spans="1:2" x14ac:dyDescent="0.3">
      <c r="A6" s="12" t="s">
        <v>22</v>
      </c>
      <c r="B6">
        <v>14641</v>
      </c>
    </row>
    <row r="7" spans="1:2" x14ac:dyDescent="0.3">
      <c r="A7" s="12" t="s">
        <v>315</v>
      </c>
      <c r="B7">
        <v>35258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A8672-4496-447C-BC4B-D456E32A293B}">
  <dimension ref="A3:A4"/>
  <sheetViews>
    <sheetView workbookViewId="0">
      <selection activeCell="A3" sqref="A3"/>
    </sheetView>
  </sheetViews>
  <sheetFormatPr defaultRowHeight="14.4" x14ac:dyDescent="0.3"/>
  <cols>
    <col min="1" max="1" width="19.21875" bestFit="1" customWidth="1"/>
  </cols>
  <sheetData>
    <row r="3" spans="1:1" x14ac:dyDescent="0.3">
      <c r="A3" t="s">
        <v>316</v>
      </c>
    </row>
    <row r="4" spans="1:1" x14ac:dyDescent="0.3">
      <c r="A4">
        <v>35258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7D963-590E-4E69-A69D-D65F28EE2F7E}">
  <dimension ref="A3:F5"/>
  <sheetViews>
    <sheetView workbookViewId="0">
      <selection activeCell="A4" sqref="A4"/>
    </sheetView>
  </sheetViews>
  <sheetFormatPr defaultRowHeight="14.4" x14ac:dyDescent="0.3"/>
  <cols>
    <col min="1" max="1" width="15.88671875" bestFit="1" customWidth="1"/>
    <col min="2" max="2" width="15.5546875" bestFit="1" customWidth="1"/>
    <col min="3" max="3" width="3.5546875" bestFit="1" customWidth="1"/>
    <col min="4" max="4" width="5" bestFit="1" customWidth="1"/>
    <col min="5" max="5" width="10.77734375" bestFit="1" customWidth="1"/>
    <col min="6" max="6" width="12.77734375" bestFit="1" customWidth="1"/>
  </cols>
  <sheetData>
    <row r="3" spans="1:6" x14ac:dyDescent="0.3">
      <c r="B3" s="11" t="s">
        <v>319</v>
      </c>
    </row>
    <row r="4" spans="1:6" x14ac:dyDescent="0.3">
      <c r="B4" t="s">
        <v>324</v>
      </c>
      <c r="C4" t="s">
        <v>325</v>
      </c>
      <c r="D4" t="s">
        <v>326</v>
      </c>
      <c r="E4" t="s">
        <v>315</v>
      </c>
      <c r="F4" s="14" t="s">
        <v>327</v>
      </c>
    </row>
    <row r="5" spans="1:6" x14ac:dyDescent="0.3">
      <c r="A5" t="s">
        <v>317</v>
      </c>
      <c r="B5">
        <v>11</v>
      </c>
      <c r="C5">
        <v>66</v>
      </c>
      <c r="D5">
        <v>23</v>
      </c>
      <c r="E5">
        <v>100</v>
      </c>
      <c r="F5" s="13">
        <f>B5/(B5+D5)</f>
        <v>0.3235294117647059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F2CE2-9B2A-47F7-979B-9AE718D59DB8}">
  <dimension ref="A3:B9"/>
  <sheetViews>
    <sheetView workbookViewId="0">
      <selection activeCell="B6" sqref="B6"/>
    </sheetView>
  </sheetViews>
  <sheetFormatPr defaultRowHeight="14.4" x14ac:dyDescent="0.3"/>
  <cols>
    <col min="1" max="1" width="12.5546875" bestFit="1" customWidth="1"/>
    <col min="2" max="2" width="19.21875" bestFit="1" customWidth="1"/>
  </cols>
  <sheetData>
    <row r="3" spans="1:2" x14ac:dyDescent="0.3">
      <c r="A3" s="11" t="s">
        <v>314</v>
      </c>
      <c r="B3" t="s">
        <v>316</v>
      </c>
    </row>
    <row r="4" spans="1:2" x14ac:dyDescent="0.3">
      <c r="A4" s="12" t="s">
        <v>30</v>
      </c>
      <c r="B4">
        <v>5456</v>
      </c>
    </row>
    <row r="5" spans="1:2" x14ac:dyDescent="0.3">
      <c r="A5" s="12" t="s">
        <v>17</v>
      </c>
      <c r="B5">
        <v>3635</v>
      </c>
    </row>
    <row r="6" spans="1:2" x14ac:dyDescent="0.3">
      <c r="A6" s="12" t="s">
        <v>12</v>
      </c>
      <c r="B6">
        <v>10491</v>
      </c>
    </row>
    <row r="7" spans="1:2" x14ac:dyDescent="0.3">
      <c r="A7" s="12" t="s">
        <v>21</v>
      </c>
      <c r="B7">
        <v>7317</v>
      </c>
    </row>
    <row r="8" spans="1:2" x14ac:dyDescent="0.3">
      <c r="A8" s="12" t="s">
        <v>33</v>
      </c>
      <c r="B8">
        <v>8359</v>
      </c>
    </row>
    <row r="9" spans="1:2" x14ac:dyDescent="0.3">
      <c r="A9" s="12" t="s">
        <v>315</v>
      </c>
      <c r="B9">
        <v>35258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65B0-D999-4174-B0FF-674A7CD1CBA0}">
  <dimension ref="A3:B6"/>
  <sheetViews>
    <sheetView workbookViewId="0">
      <selection activeCell="B3" sqref="B3"/>
    </sheetView>
  </sheetViews>
  <sheetFormatPr defaultRowHeight="14.4" x14ac:dyDescent="0.3"/>
  <cols>
    <col min="1" max="1" width="12.5546875" bestFit="1" customWidth="1"/>
    <col min="2" max="2" width="20.5546875" bestFit="1" customWidth="1"/>
  </cols>
  <sheetData>
    <row r="3" spans="1:2" x14ac:dyDescent="0.3">
      <c r="A3" s="11" t="s">
        <v>314</v>
      </c>
      <c r="B3" t="s">
        <v>328</v>
      </c>
    </row>
    <row r="4" spans="1:2" x14ac:dyDescent="0.3">
      <c r="A4" s="12" t="s">
        <v>208</v>
      </c>
      <c r="B4" s="34">
        <v>8</v>
      </c>
    </row>
    <row r="5" spans="1:2" x14ac:dyDescent="0.3">
      <c r="A5" s="12" t="s">
        <v>210</v>
      </c>
      <c r="B5" s="34">
        <v>8</v>
      </c>
    </row>
    <row r="6" spans="1:2" x14ac:dyDescent="0.3">
      <c r="A6" s="12" t="s">
        <v>315</v>
      </c>
      <c r="B6" s="34">
        <v>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S101"/>
  <sheetViews>
    <sheetView topLeftCell="H1" workbookViewId="0">
      <selection activeCell="U12" sqref="U12"/>
    </sheetView>
  </sheetViews>
  <sheetFormatPr defaultRowHeight="14.4" x14ac:dyDescent="0.3"/>
  <cols>
    <col min="1" max="1" width="8.6640625" bestFit="1" customWidth="1"/>
    <col min="2" max="2" width="11.109375" bestFit="1" customWidth="1"/>
    <col min="3" max="3" width="9.5546875" bestFit="1" customWidth="1"/>
    <col min="4" max="4" width="6.88671875" bestFit="1" customWidth="1"/>
    <col min="5" max="5" width="13.109375" bestFit="1" customWidth="1"/>
    <col min="6" max="6" width="8" bestFit="1" customWidth="1"/>
    <col min="7" max="7" width="12.109375" bestFit="1" customWidth="1"/>
    <col min="8" max="8" width="15.88671875" bestFit="1" customWidth="1"/>
    <col min="9" max="9" width="13.5546875" bestFit="1" customWidth="1"/>
    <col min="10" max="10" width="16.109375" bestFit="1" customWidth="1"/>
    <col min="11" max="11" width="10.33203125" bestFit="1" customWidth="1"/>
    <col min="12" max="12" width="11.88671875" bestFit="1" customWidth="1"/>
    <col min="13" max="13" width="10.77734375" bestFit="1" customWidth="1"/>
    <col min="14" max="14" width="10.5546875" bestFit="1" customWidth="1"/>
    <col min="15" max="15" width="15" bestFit="1" customWidth="1"/>
    <col min="16" max="16" width="18.5546875" bestFit="1" customWidth="1"/>
    <col min="17" max="17" width="14.6640625" bestFit="1" customWidth="1"/>
    <col min="18" max="18" width="19.33203125" style="10" bestFit="1" customWidth="1"/>
    <col min="19" max="19" width="16.109375" bestFit="1" customWidth="1"/>
  </cols>
  <sheetData>
    <row r="1" spans="1:19" x14ac:dyDescent="0.3">
      <c r="A1" s="8" t="s">
        <v>51</v>
      </c>
      <c r="B1" s="8" t="s">
        <v>52</v>
      </c>
      <c r="C1" s="8" t="s">
        <v>0</v>
      </c>
      <c r="D1" s="8" t="s">
        <v>1</v>
      </c>
      <c r="E1" s="8" t="s">
        <v>2</v>
      </c>
      <c r="F1" s="8" t="s">
        <v>3</v>
      </c>
      <c r="G1" s="8" t="s">
        <v>4</v>
      </c>
      <c r="H1" s="8" t="s">
        <v>5</v>
      </c>
      <c r="I1" s="8" t="s">
        <v>6</v>
      </c>
      <c r="J1" s="8" t="s">
        <v>7</v>
      </c>
      <c r="K1" s="9" t="s">
        <v>8</v>
      </c>
      <c r="L1" s="9" t="s">
        <v>9</v>
      </c>
      <c r="M1" s="9" t="s">
        <v>10</v>
      </c>
      <c r="N1" s="9" t="s">
        <v>311</v>
      </c>
      <c r="O1" s="9" t="s">
        <v>313</v>
      </c>
      <c r="P1" s="24" t="s">
        <v>312</v>
      </c>
      <c r="Q1" s="9" t="s">
        <v>249</v>
      </c>
      <c r="R1" s="24" t="s">
        <v>321</v>
      </c>
      <c r="S1" s="9" t="s">
        <v>53</v>
      </c>
    </row>
    <row r="2" spans="1:19" ht="16.8" x14ac:dyDescent="0.4">
      <c r="A2" s="1" t="s">
        <v>54</v>
      </c>
      <c r="B2" s="1" t="s">
        <v>55</v>
      </c>
      <c r="C2" s="1" t="s">
        <v>11</v>
      </c>
      <c r="D2" s="1" t="s">
        <v>12</v>
      </c>
      <c r="E2" s="1">
        <v>44</v>
      </c>
      <c r="F2" s="1">
        <v>1</v>
      </c>
      <c r="G2" s="1">
        <v>44</v>
      </c>
      <c r="H2" s="1" t="s">
        <v>13</v>
      </c>
      <c r="I2" s="1" t="s">
        <v>14</v>
      </c>
      <c r="J2" s="1" t="s">
        <v>15</v>
      </c>
      <c r="K2" s="2">
        <v>45291</v>
      </c>
      <c r="L2" s="2"/>
      <c r="M2" s="2">
        <v>45293</v>
      </c>
      <c r="N2" s="1" t="str">
        <f>IF(OR(I2="cancelled",M2=" "),"yes","No")</f>
        <v>yes</v>
      </c>
      <c r="O2" s="25" t="str">
        <f>_xlfn.XLOOKUP(Orders!C2,'Product Master'!$A$2:$A$23,'Product Master'!$C$2:$C$23)</f>
        <v>Home</v>
      </c>
      <c r="P2" s="26" t="str">
        <f>IF(L2="","NA",L2-K2)</f>
        <v>NA</v>
      </c>
      <c r="Q2" s="1" t="str">
        <f>_xlfn.XLOOKUP(B2,'Customer Master'!$A$2:$A$50,'Customer Master'!$B$2:$B$50)</f>
        <v>Zoe Mitchell</v>
      </c>
      <c r="R2" s="25" t="str" cm="1">
        <f t="array" ref="R2">_xlfn.IFS(P2="NA","NA",P2&lt;=2,"Fast",P2&gt;2,"Slow")</f>
        <v>NA</v>
      </c>
      <c r="S2" s="25" t="str">
        <f>_xlfn.XLOOKUP(C2,'Product Master'!$A$2:$A$23,'Product Master'!$B$2:$B$23)</f>
        <v>Lamp</v>
      </c>
    </row>
    <row r="3" spans="1:19" ht="16.8" x14ac:dyDescent="0.4">
      <c r="A3" s="1" t="s">
        <v>56</v>
      </c>
      <c r="B3" s="1" t="s">
        <v>57</v>
      </c>
      <c r="C3" s="1" t="s">
        <v>16</v>
      </c>
      <c r="D3" s="1" t="s">
        <v>17</v>
      </c>
      <c r="E3" s="1">
        <v>96</v>
      </c>
      <c r="F3" s="1">
        <v>4</v>
      </c>
      <c r="G3" s="1">
        <v>384</v>
      </c>
      <c r="H3" s="1" t="s">
        <v>18</v>
      </c>
      <c r="I3" s="1" t="s">
        <v>19</v>
      </c>
      <c r="J3" s="1" t="s">
        <v>15</v>
      </c>
      <c r="K3" s="2">
        <v>44979</v>
      </c>
      <c r="L3" s="2">
        <v>44981</v>
      </c>
      <c r="M3" s="2"/>
      <c r="N3" s="1" t="str">
        <f t="shared" ref="N3:N66" si="0">IF(OR(I3="cancelled",M3=" "),"yes","No")</f>
        <v>No</v>
      </c>
      <c r="O3" s="25" t="str">
        <f>_xlfn.XLOOKUP(Orders!C3,'Product Master'!$A$2:$A$23,'Product Master'!$C$2:$C$23)</f>
        <v>Toys</v>
      </c>
      <c r="P3" s="26">
        <f t="shared" ref="P3:P66" si="1">IF(L3="","NA",L3-K3)</f>
        <v>2</v>
      </c>
      <c r="Q3" s="1" t="str">
        <f>_xlfn.XLOOKUP(B3,'Customer Master'!$A$2:$A$50,'Customer Master'!$B$2:$B$50)</f>
        <v>Ava White</v>
      </c>
      <c r="R3" s="25" t="str" cm="1">
        <f t="array" ref="R3">_xlfn.IFS(P3="NA","NA",P3&lt;=2,"Fast",P3&gt;2,"Slow")</f>
        <v>Fast</v>
      </c>
      <c r="S3" s="25" t="str">
        <f>_xlfn.XLOOKUP(C3,'Product Master'!$A$2:$A$23,'Product Master'!$B$2:$B$23)</f>
        <v>Doll House</v>
      </c>
    </row>
    <row r="4" spans="1:19" ht="16.8" x14ac:dyDescent="0.4">
      <c r="A4" s="1" t="s">
        <v>58</v>
      </c>
      <c r="B4" s="1" t="s">
        <v>55</v>
      </c>
      <c r="C4" s="1" t="s">
        <v>20</v>
      </c>
      <c r="D4" s="1" t="s">
        <v>21</v>
      </c>
      <c r="E4" s="1">
        <v>194</v>
      </c>
      <c r="F4" s="1">
        <v>4</v>
      </c>
      <c r="G4" s="1">
        <v>776</v>
      </c>
      <c r="H4" s="1" t="s">
        <v>18</v>
      </c>
      <c r="I4" s="1" t="s">
        <v>22</v>
      </c>
      <c r="J4" s="1" t="s">
        <v>23</v>
      </c>
      <c r="K4" s="2">
        <v>45210</v>
      </c>
      <c r="L4" s="2"/>
      <c r="M4" s="2"/>
      <c r="N4" s="1" t="str">
        <f t="shared" si="0"/>
        <v>No</v>
      </c>
      <c r="O4" s="25" t="str">
        <f>_xlfn.XLOOKUP(Orders!C4,'Product Master'!$A$2:$A$23,'Product Master'!$C$2:$C$23)</f>
        <v>Home</v>
      </c>
      <c r="P4" s="26" t="str">
        <f t="shared" si="1"/>
        <v>NA</v>
      </c>
      <c r="Q4" s="1" t="str">
        <f>_xlfn.XLOOKUP(B4,'Customer Master'!$A$2:$A$50,'Customer Master'!$B$2:$B$50)</f>
        <v>Zoe Mitchell</v>
      </c>
      <c r="R4" s="25" t="str" cm="1">
        <f t="array" ref="R4">_xlfn.IFS(P4="NA","NA",P4&lt;=2,"Fast",P4&gt;2,"Slow")</f>
        <v>NA</v>
      </c>
      <c r="S4" s="25" t="str">
        <f>_xlfn.XLOOKUP(C4,'Product Master'!$A$2:$A$23,'Product Master'!$B$2:$B$23)</f>
        <v>Vacuum Cleaner</v>
      </c>
    </row>
    <row r="5" spans="1:19" ht="16.8" x14ac:dyDescent="0.4">
      <c r="A5" s="1" t="s">
        <v>59</v>
      </c>
      <c r="B5" s="1" t="s">
        <v>60</v>
      </c>
      <c r="C5" s="1" t="s">
        <v>20</v>
      </c>
      <c r="D5" s="1" t="s">
        <v>12</v>
      </c>
      <c r="E5" s="1">
        <v>196</v>
      </c>
      <c r="F5" s="1">
        <v>3</v>
      </c>
      <c r="G5" s="1">
        <v>588</v>
      </c>
      <c r="H5" s="1" t="s">
        <v>24</v>
      </c>
      <c r="I5" s="1" t="s">
        <v>14</v>
      </c>
      <c r="J5" s="1" t="s">
        <v>25</v>
      </c>
      <c r="K5" s="2">
        <v>45051</v>
      </c>
      <c r="L5" s="2"/>
      <c r="M5" s="2">
        <v>45057</v>
      </c>
      <c r="N5" s="1" t="str">
        <f t="shared" si="0"/>
        <v>yes</v>
      </c>
      <c r="O5" s="25" t="str">
        <f>_xlfn.XLOOKUP(Orders!C5,'Product Master'!$A$2:$A$23,'Product Master'!$C$2:$C$23)</f>
        <v>Home</v>
      </c>
      <c r="P5" s="26" t="str">
        <f t="shared" si="1"/>
        <v>NA</v>
      </c>
      <c r="Q5" s="1" t="str">
        <f>_xlfn.XLOOKUP(B5,'Customer Master'!$A$2:$A$50,'Customer Master'!$B$2:$B$50)</f>
        <v>Grace Ward</v>
      </c>
      <c r="R5" s="25" t="str" cm="1">
        <f t="array" ref="R5">_xlfn.IFS(P5="NA","NA",P5&lt;=2,"Fast",P5&gt;2,"Slow")</f>
        <v>NA</v>
      </c>
      <c r="S5" s="25" t="str">
        <f>_xlfn.XLOOKUP(C5,'Product Master'!$A$2:$A$23,'Product Master'!$B$2:$B$23)</f>
        <v>Vacuum Cleaner</v>
      </c>
    </row>
    <row r="6" spans="1:19" ht="16.8" x14ac:dyDescent="0.4">
      <c r="A6" s="1" t="s">
        <v>61</v>
      </c>
      <c r="B6" s="1" t="s">
        <v>62</v>
      </c>
      <c r="C6" s="1" t="s">
        <v>26</v>
      </c>
      <c r="D6" s="1" t="s">
        <v>12</v>
      </c>
      <c r="E6" s="1">
        <v>59</v>
      </c>
      <c r="F6" s="1">
        <v>1</v>
      </c>
      <c r="G6" s="1">
        <v>59</v>
      </c>
      <c r="H6" s="1" t="s">
        <v>24</v>
      </c>
      <c r="I6" s="1" t="s">
        <v>19</v>
      </c>
      <c r="J6" s="1" t="s">
        <v>27</v>
      </c>
      <c r="K6" s="2">
        <v>44959</v>
      </c>
      <c r="L6" s="2">
        <v>44962</v>
      </c>
      <c r="M6" s="2"/>
      <c r="N6" s="1" t="str">
        <f t="shared" si="0"/>
        <v>No</v>
      </c>
      <c r="O6" s="25" t="str">
        <f>_xlfn.XLOOKUP(Orders!C6,'Product Master'!$A$2:$A$23,'Product Master'!$C$2:$C$23)</f>
        <v>Fashion</v>
      </c>
      <c r="P6" s="26">
        <f t="shared" si="1"/>
        <v>3</v>
      </c>
      <c r="Q6" s="1" t="str">
        <f>_xlfn.XLOOKUP(B6,'Customer Master'!$A$2:$A$50,'Customer Master'!$B$2:$B$50)</f>
        <v>Hazel Brooks</v>
      </c>
      <c r="R6" s="25" t="str" cm="1">
        <f t="array" ref="R6">_xlfn.IFS(P6="NA","NA",P6&lt;=2,"Fast",P6&gt;2,"Slow")</f>
        <v>Slow</v>
      </c>
      <c r="S6" s="25" t="str">
        <f>_xlfn.XLOOKUP(C6,'Product Master'!$A$2:$A$23,'Product Master'!$B$2:$B$23)</f>
        <v>Jeans</v>
      </c>
    </row>
    <row r="7" spans="1:19" ht="16.8" x14ac:dyDescent="0.4">
      <c r="A7" s="1" t="s">
        <v>63</v>
      </c>
      <c r="B7" s="1" t="s">
        <v>64</v>
      </c>
      <c r="C7" s="1" t="s">
        <v>26</v>
      </c>
      <c r="D7" s="1" t="s">
        <v>12</v>
      </c>
      <c r="E7" s="1">
        <v>58</v>
      </c>
      <c r="F7" s="1">
        <v>4</v>
      </c>
      <c r="G7" s="1">
        <v>232</v>
      </c>
      <c r="H7" s="1" t="s">
        <v>28</v>
      </c>
      <c r="I7" s="1" t="s">
        <v>14</v>
      </c>
      <c r="J7" s="1" t="s">
        <v>15</v>
      </c>
      <c r="K7" s="2">
        <v>45231</v>
      </c>
      <c r="L7" s="2"/>
      <c r="M7" s="2">
        <v>45232</v>
      </c>
      <c r="N7" s="1" t="str">
        <f t="shared" si="0"/>
        <v>yes</v>
      </c>
      <c r="O7" s="25" t="str">
        <f>_xlfn.XLOOKUP(Orders!C7,'Product Master'!$A$2:$A$23,'Product Master'!$C$2:$C$23)</f>
        <v>Fashion</v>
      </c>
      <c r="P7" s="26" t="str">
        <f t="shared" si="1"/>
        <v>NA</v>
      </c>
      <c r="Q7" s="1" t="str">
        <f>_xlfn.XLOOKUP(B7,'Customer Master'!$A$2:$A$50,'Customer Master'!$B$2:$B$50)</f>
        <v>Jackson Allen</v>
      </c>
      <c r="R7" s="25" t="str" cm="1">
        <f t="array" ref="R7">_xlfn.IFS(P7="NA","NA",P7&lt;=2,"Fast",P7&gt;2,"Slow")</f>
        <v>NA</v>
      </c>
      <c r="S7" s="25" t="str">
        <f>_xlfn.XLOOKUP(C7,'Product Master'!$A$2:$A$23,'Product Master'!$B$2:$B$23)</f>
        <v>Jeans</v>
      </c>
    </row>
    <row r="8" spans="1:19" ht="16.8" x14ac:dyDescent="0.4">
      <c r="A8" s="1" t="s">
        <v>65</v>
      </c>
      <c r="B8" s="1" t="s">
        <v>66</v>
      </c>
      <c r="C8" s="1" t="s">
        <v>29</v>
      </c>
      <c r="D8" s="1" t="s">
        <v>30</v>
      </c>
      <c r="E8" s="1">
        <v>105</v>
      </c>
      <c r="F8" s="1">
        <v>3</v>
      </c>
      <c r="G8" s="1">
        <v>315</v>
      </c>
      <c r="H8" s="1" t="s">
        <v>31</v>
      </c>
      <c r="I8" s="1" t="s">
        <v>14</v>
      </c>
      <c r="J8" s="1" t="s">
        <v>15</v>
      </c>
      <c r="K8" s="2">
        <v>45152</v>
      </c>
      <c r="L8" s="2"/>
      <c r="M8" s="2">
        <v>45156</v>
      </c>
      <c r="N8" s="1" t="str">
        <f t="shared" si="0"/>
        <v>yes</v>
      </c>
      <c r="O8" s="25" t="str">
        <f>_xlfn.XLOOKUP(Orders!C8,'Product Master'!$A$2:$A$23,'Product Master'!$C$2:$C$23)</f>
        <v>Electronics</v>
      </c>
      <c r="P8" s="26" t="str">
        <f t="shared" si="1"/>
        <v>NA</v>
      </c>
      <c r="Q8" s="1" t="str">
        <f>_xlfn.XLOOKUP(B8,'Customer Master'!$A$2:$A$50,'Customer Master'!$B$2:$B$50)</f>
        <v>Noah Wilson</v>
      </c>
      <c r="R8" s="25" t="str" cm="1">
        <f t="array" ref="R8">_xlfn.IFS(P8="NA","NA",P8&lt;=2,"Fast",P8&gt;2,"Slow")</f>
        <v>NA</v>
      </c>
      <c r="S8" s="25" t="str">
        <f>_xlfn.XLOOKUP(C8,'Product Master'!$A$2:$A$23,'Product Master'!$B$2:$B$23)</f>
        <v>Bluetooth Speaker</v>
      </c>
    </row>
    <row r="9" spans="1:19" ht="16.8" x14ac:dyDescent="0.4">
      <c r="A9" s="1" t="s">
        <v>67</v>
      </c>
      <c r="B9" s="1" t="s">
        <v>68</v>
      </c>
      <c r="C9" s="1" t="s">
        <v>32</v>
      </c>
      <c r="D9" s="1" t="s">
        <v>33</v>
      </c>
      <c r="E9" s="1">
        <v>37</v>
      </c>
      <c r="F9" s="1">
        <v>5</v>
      </c>
      <c r="G9" s="1">
        <v>185</v>
      </c>
      <c r="H9" s="1" t="s">
        <v>24</v>
      </c>
      <c r="I9" s="1" t="s">
        <v>14</v>
      </c>
      <c r="J9" s="1" t="s">
        <v>15</v>
      </c>
      <c r="K9" s="2">
        <v>45017</v>
      </c>
      <c r="L9" s="2"/>
      <c r="M9" s="2">
        <v>45022</v>
      </c>
      <c r="N9" s="1" t="str">
        <f t="shared" si="0"/>
        <v>yes</v>
      </c>
      <c r="O9" s="25" t="str">
        <f>_xlfn.XLOOKUP(Orders!C9,'Product Master'!$A$2:$A$23,'Product Master'!$C$2:$C$23)</f>
        <v>Home</v>
      </c>
      <c r="P9" s="26" t="str">
        <f t="shared" si="1"/>
        <v>NA</v>
      </c>
      <c r="Q9" s="1" t="str">
        <f>_xlfn.XLOOKUP(B9,'Customer Master'!$A$2:$A$50,'Customer Master'!$B$2:$B$50)</f>
        <v>Ava Robinson</v>
      </c>
      <c r="R9" s="25" t="str" cm="1">
        <f t="array" ref="R9">_xlfn.IFS(P9="NA","NA",P9&lt;=2,"Fast",P9&gt;2,"Slow")</f>
        <v>NA</v>
      </c>
      <c r="S9" s="25" t="str">
        <f>_xlfn.XLOOKUP(C9,'Product Master'!$A$2:$A$23,'Product Master'!$B$2:$B$23)</f>
        <v>Wall Clock</v>
      </c>
    </row>
    <row r="10" spans="1:19" ht="16.8" x14ac:dyDescent="0.4">
      <c r="A10" s="1" t="s">
        <v>69</v>
      </c>
      <c r="B10" s="1" t="s">
        <v>70</v>
      </c>
      <c r="C10" s="1" t="s">
        <v>34</v>
      </c>
      <c r="D10" s="1" t="s">
        <v>30</v>
      </c>
      <c r="E10" s="1">
        <v>44</v>
      </c>
      <c r="F10" s="1">
        <v>2</v>
      </c>
      <c r="G10" s="1">
        <v>88</v>
      </c>
      <c r="H10" s="1" t="s">
        <v>18</v>
      </c>
      <c r="I10" s="1" t="s">
        <v>22</v>
      </c>
      <c r="J10" s="1" t="s">
        <v>27</v>
      </c>
      <c r="K10" s="2">
        <v>45128</v>
      </c>
      <c r="L10" s="2"/>
      <c r="M10" s="2"/>
      <c r="N10" s="1" t="str">
        <f t="shared" si="0"/>
        <v>No</v>
      </c>
      <c r="O10" s="25" t="str">
        <f>_xlfn.XLOOKUP(Orders!C10,'Product Master'!$A$2:$A$23,'Product Master'!$C$2:$C$23)</f>
        <v>Fashion</v>
      </c>
      <c r="P10" s="26" t="str">
        <f t="shared" si="1"/>
        <v>NA</v>
      </c>
      <c r="Q10" s="1" t="str">
        <f>_xlfn.XLOOKUP(B10,'Customer Master'!$A$2:$A$50,'Customer Master'!$B$2:$B$50)</f>
        <v>Olivia Martinez</v>
      </c>
      <c r="R10" s="25" t="str" cm="1">
        <f t="array" ref="R10">_xlfn.IFS(P10="NA","NA",P10&lt;=2,"Fast",P10&gt;2,"Slow")</f>
        <v>NA</v>
      </c>
      <c r="S10" s="25" t="str">
        <f>_xlfn.XLOOKUP(C10,'Product Master'!$A$2:$A$23,'Product Master'!$B$2:$B$23)</f>
        <v>Formal Shirt</v>
      </c>
    </row>
    <row r="11" spans="1:19" ht="16.8" x14ac:dyDescent="0.4">
      <c r="A11" s="1" t="s">
        <v>71</v>
      </c>
      <c r="B11" s="1" t="s">
        <v>68</v>
      </c>
      <c r="C11" s="1" t="s">
        <v>35</v>
      </c>
      <c r="D11" s="1" t="s">
        <v>21</v>
      </c>
      <c r="E11" s="1">
        <v>141</v>
      </c>
      <c r="F11" s="1">
        <v>4</v>
      </c>
      <c r="G11" s="1">
        <v>564</v>
      </c>
      <c r="H11" s="1" t="s">
        <v>31</v>
      </c>
      <c r="I11" s="1" t="s">
        <v>22</v>
      </c>
      <c r="J11" s="1" t="s">
        <v>15</v>
      </c>
      <c r="K11" s="2">
        <v>45289</v>
      </c>
      <c r="L11" s="2"/>
      <c r="M11" s="2"/>
      <c r="N11" s="1" t="str">
        <f t="shared" si="0"/>
        <v>No</v>
      </c>
      <c r="O11" s="25" t="str">
        <f>_xlfn.XLOOKUP(Orders!C11,'Product Master'!$A$2:$A$23,'Product Master'!$C$2:$C$23)</f>
        <v>Home</v>
      </c>
      <c r="P11" s="26" t="str">
        <f t="shared" si="1"/>
        <v>NA</v>
      </c>
      <c r="Q11" s="1" t="str">
        <f>_xlfn.XLOOKUP(B11,'Customer Master'!$A$2:$A$50,'Customer Master'!$B$2:$B$50)</f>
        <v>Ava Robinson</v>
      </c>
      <c r="R11" s="25" t="str" cm="1">
        <f t="array" ref="R11">_xlfn.IFS(P11="NA","NA",P11&lt;=2,"Fast",P11&gt;2,"Slow")</f>
        <v>NA</v>
      </c>
      <c r="S11" s="25" t="str">
        <f>_xlfn.XLOOKUP(C11,'Product Master'!$A$2:$A$23,'Product Master'!$B$2:$B$23)</f>
        <v>Cookware Set</v>
      </c>
    </row>
    <row r="12" spans="1:19" ht="16.8" x14ac:dyDescent="0.4">
      <c r="A12" s="1" t="s">
        <v>72</v>
      </c>
      <c r="B12" s="1" t="s">
        <v>73</v>
      </c>
      <c r="C12" s="1" t="s">
        <v>36</v>
      </c>
      <c r="D12" s="1" t="s">
        <v>21</v>
      </c>
      <c r="E12" s="1">
        <v>249</v>
      </c>
      <c r="F12" s="1">
        <v>1</v>
      </c>
      <c r="G12" s="1">
        <v>249</v>
      </c>
      <c r="H12" s="1" t="s">
        <v>28</v>
      </c>
      <c r="I12" s="1" t="s">
        <v>14</v>
      </c>
      <c r="J12" s="1" t="s">
        <v>23</v>
      </c>
      <c r="K12" s="2">
        <v>45050</v>
      </c>
      <c r="L12" s="2"/>
      <c r="M12" s="2">
        <v>45054</v>
      </c>
      <c r="N12" s="1" t="str">
        <f t="shared" si="0"/>
        <v>yes</v>
      </c>
      <c r="O12" s="25" t="str">
        <f>_xlfn.XLOOKUP(Orders!C12,'Product Master'!$A$2:$A$23,'Product Master'!$C$2:$C$23)</f>
        <v>Electronics</v>
      </c>
      <c r="P12" s="26" t="str">
        <f t="shared" si="1"/>
        <v>NA</v>
      </c>
      <c r="Q12" s="1" t="str">
        <f>_xlfn.XLOOKUP(B12,'Customer Master'!$A$2:$A$50,'Customer Master'!$B$2:$B$50)</f>
        <v>Emily Johnson</v>
      </c>
      <c r="R12" s="25" t="str" cm="1">
        <f t="array" ref="R12">_xlfn.IFS(P12="NA","NA",P12&lt;=2,"Fast",P12&gt;2,"Slow")</f>
        <v>NA</v>
      </c>
      <c r="S12" s="25" t="str">
        <f>_xlfn.XLOOKUP(C12,'Product Master'!$A$2:$A$23,'Product Master'!$B$2:$B$23)</f>
        <v>Smartwatch</v>
      </c>
    </row>
    <row r="13" spans="1:19" ht="16.8" x14ac:dyDescent="0.4">
      <c r="A13" s="1" t="s">
        <v>74</v>
      </c>
      <c r="B13" s="1" t="s">
        <v>75</v>
      </c>
      <c r="C13" s="1" t="s">
        <v>36</v>
      </c>
      <c r="D13" s="1" t="s">
        <v>30</v>
      </c>
      <c r="E13" s="1">
        <v>247</v>
      </c>
      <c r="F13" s="1">
        <v>3</v>
      </c>
      <c r="G13" s="1">
        <v>741</v>
      </c>
      <c r="H13" s="1" t="s">
        <v>28</v>
      </c>
      <c r="I13" s="1" t="s">
        <v>22</v>
      </c>
      <c r="J13" s="1" t="s">
        <v>37</v>
      </c>
      <c r="K13" s="2">
        <v>45132</v>
      </c>
      <c r="L13" s="2"/>
      <c r="M13" s="2"/>
      <c r="N13" s="1" t="str">
        <f t="shared" si="0"/>
        <v>No</v>
      </c>
      <c r="O13" s="25" t="str">
        <f>_xlfn.XLOOKUP(Orders!C13,'Product Master'!$A$2:$A$23,'Product Master'!$C$2:$C$23)</f>
        <v>Electronics</v>
      </c>
      <c r="P13" s="26" t="str">
        <f t="shared" si="1"/>
        <v>NA</v>
      </c>
      <c r="Q13" s="1" t="str">
        <f>_xlfn.XLOOKUP(B13,'Customer Master'!$A$2:$A$50,'Customer Master'!$B$2:$B$50)</f>
        <v>Emily Johnson</v>
      </c>
      <c r="R13" s="25" t="str" cm="1">
        <f t="array" ref="R13">_xlfn.IFS(P13="NA","NA",P13&lt;=2,"Fast",P13&gt;2,"Slow")</f>
        <v>NA</v>
      </c>
      <c r="S13" s="25" t="str">
        <f>_xlfn.XLOOKUP(C13,'Product Master'!$A$2:$A$23,'Product Master'!$B$2:$B$23)</f>
        <v>Smartwatch</v>
      </c>
    </row>
    <row r="14" spans="1:19" ht="16.8" x14ac:dyDescent="0.4">
      <c r="A14" s="1" t="s">
        <v>76</v>
      </c>
      <c r="B14" s="1" t="s">
        <v>77</v>
      </c>
      <c r="C14" s="1" t="s">
        <v>38</v>
      </c>
      <c r="D14" s="1" t="s">
        <v>30</v>
      </c>
      <c r="E14" s="1">
        <v>96</v>
      </c>
      <c r="F14" s="1">
        <v>1</v>
      </c>
      <c r="G14" s="1">
        <v>96</v>
      </c>
      <c r="H14" s="1" t="s">
        <v>13</v>
      </c>
      <c r="I14" s="1" t="s">
        <v>14</v>
      </c>
      <c r="J14" s="1" t="s">
        <v>27</v>
      </c>
      <c r="K14" s="2">
        <v>44982</v>
      </c>
      <c r="L14" s="2"/>
      <c r="M14" s="2">
        <v>44985</v>
      </c>
      <c r="N14" s="1" t="str">
        <f t="shared" si="0"/>
        <v>yes</v>
      </c>
      <c r="O14" s="25" t="str">
        <f>_xlfn.XLOOKUP(Orders!C14,'Product Master'!$A$2:$A$23,'Product Master'!$C$2:$C$23)</f>
        <v>Fashion</v>
      </c>
      <c r="P14" s="26" t="str">
        <f t="shared" si="1"/>
        <v>NA</v>
      </c>
      <c r="Q14" s="1" t="str">
        <f>_xlfn.XLOOKUP(B14,'Customer Master'!$A$2:$A$50,'Customer Master'!$B$2:$B$50)</f>
        <v>Charlotte Reed</v>
      </c>
      <c r="R14" s="25" t="str" cm="1">
        <f t="array" ref="R14">_xlfn.IFS(P14="NA","NA",P14&lt;=2,"Fast",P14&gt;2,"Slow")</f>
        <v>NA</v>
      </c>
      <c r="S14" s="25" t="str">
        <f>_xlfn.XLOOKUP(C14,'Product Master'!$A$2:$A$23,'Product Master'!$B$2:$B$23)</f>
        <v>Shoes</v>
      </c>
    </row>
    <row r="15" spans="1:19" ht="16.8" x14ac:dyDescent="0.4">
      <c r="A15" s="1" t="s">
        <v>78</v>
      </c>
      <c r="B15" s="1" t="s">
        <v>79</v>
      </c>
      <c r="C15" s="1" t="s">
        <v>39</v>
      </c>
      <c r="D15" s="1" t="s">
        <v>33</v>
      </c>
      <c r="E15" s="1">
        <v>74</v>
      </c>
      <c r="F15" s="1">
        <v>5</v>
      </c>
      <c r="G15" s="1">
        <v>370</v>
      </c>
      <c r="H15" s="1" t="s">
        <v>13</v>
      </c>
      <c r="I15" s="1" t="s">
        <v>14</v>
      </c>
      <c r="J15" s="1" t="s">
        <v>27</v>
      </c>
      <c r="K15" s="2">
        <v>44981</v>
      </c>
      <c r="L15" s="2"/>
      <c r="M15" s="2">
        <v>44982</v>
      </c>
      <c r="N15" s="1" t="str">
        <f t="shared" si="0"/>
        <v>yes</v>
      </c>
      <c r="O15" s="25" t="str">
        <f>_xlfn.XLOOKUP(Orders!C15,'Product Master'!$A$2:$A$23,'Product Master'!$C$2:$C$23)</f>
        <v>Electronics</v>
      </c>
      <c r="P15" s="26" t="str">
        <f t="shared" si="1"/>
        <v>NA</v>
      </c>
      <c r="Q15" s="1" t="str">
        <f>_xlfn.XLOOKUP(B15,'Customer Master'!$A$2:$A$50,'Customer Master'!$B$2:$B$50)</f>
        <v>Hazel Rivera</v>
      </c>
      <c r="R15" s="25" t="str" cm="1">
        <f t="array" ref="R15">_xlfn.IFS(P15="NA","NA",P15&lt;=2,"Fast",P15&gt;2,"Slow")</f>
        <v>NA</v>
      </c>
      <c r="S15" s="25" t="str">
        <f>_xlfn.XLOOKUP(C15,'Product Master'!$A$2:$A$23,'Product Master'!$B$2:$B$23)</f>
        <v>Gaming Mouse</v>
      </c>
    </row>
    <row r="16" spans="1:19" ht="16.8" x14ac:dyDescent="0.4">
      <c r="A16" s="1" t="s">
        <v>80</v>
      </c>
      <c r="B16" s="1" t="s">
        <v>79</v>
      </c>
      <c r="C16" s="1" t="s">
        <v>40</v>
      </c>
      <c r="D16" s="1" t="s">
        <v>21</v>
      </c>
      <c r="E16" s="1">
        <v>27</v>
      </c>
      <c r="F16" s="1">
        <v>1</v>
      </c>
      <c r="G16" s="1">
        <v>27</v>
      </c>
      <c r="H16" s="1" t="s">
        <v>18</v>
      </c>
      <c r="I16" s="1" t="s">
        <v>14</v>
      </c>
      <c r="J16" s="1" t="s">
        <v>27</v>
      </c>
      <c r="K16" s="2">
        <v>45164</v>
      </c>
      <c r="L16" s="2"/>
      <c r="M16" s="2">
        <v>45171</v>
      </c>
      <c r="N16" s="1" t="str">
        <f t="shared" si="0"/>
        <v>yes</v>
      </c>
      <c r="O16" s="25" t="str">
        <f>_xlfn.XLOOKUP(Orders!C16,'Product Master'!$A$2:$A$23,'Product Master'!$C$2:$C$23)</f>
        <v>Fashion</v>
      </c>
      <c r="P16" s="26" t="str">
        <f t="shared" si="1"/>
        <v>NA</v>
      </c>
      <c r="Q16" s="1" t="str">
        <f>_xlfn.XLOOKUP(B16,'Customer Master'!$A$2:$A$50,'Customer Master'!$B$2:$B$50)</f>
        <v>Hazel Rivera</v>
      </c>
      <c r="R16" s="25" t="str" cm="1">
        <f t="array" ref="R16">_xlfn.IFS(P16="NA","NA",P16&lt;=2,"Fast",P16&gt;2,"Slow")</f>
        <v>NA</v>
      </c>
      <c r="S16" s="25" t="str">
        <f>_xlfn.XLOOKUP(C16,'Product Master'!$A$2:$A$23,'Product Master'!$B$2:$B$23)</f>
        <v>T-Shirt</v>
      </c>
    </row>
    <row r="17" spans="1:19" ht="16.8" x14ac:dyDescent="0.4">
      <c r="A17" s="1" t="s">
        <v>81</v>
      </c>
      <c r="B17" s="1" t="s">
        <v>82</v>
      </c>
      <c r="C17" s="1" t="s">
        <v>40</v>
      </c>
      <c r="D17" s="1" t="s">
        <v>21</v>
      </c>
      <c r="E17" s="1">
        <v>27</v>
      </c>
      <c r="F17" s="1">
        <v>3</v>
      </c>
      <c r="G17" s="1">
        <v>81</v>
      </c>
      <c r="H17" s="1" t="s">
        <v>31</v>
      </c>
      <c r="I17" s="1" t="s">
        <v>22</v>
      </c>
      <c r="J17" s="1" t="s">
        <v>27</v>
      </c>
      <c r="K17" s="2">
        <v>44970</v>
      </c>
      <c r="L17" s="2"/>
      <c r="M17" s="2"/>
      <c r="N17" s="1" t="str">
        <f t="shared" si="0"/>
        <v>No</v>
      </c>
      <c r="O17" s="25" t="str">
        <f>_xlfn.XLOOKUP(Orders!C17,'Product Master'!$A$2:$A$23,'Product Master'!$C$2:$C$23)</f>
        <v>Fashion</v>
      </c>
      <c r="P17" s="26" t="str">
        <f t="shared" si="1"/>
        <v>NA</v>
      </c>
      <c r="Q17" s="1" t="str">
        <f>_xlfn.XLOOKUP(B17,'Customer Master'!$A$2:$A$50,'Customer Master'!$B$2:$B$50)</f>
        <v>Scarlett Murphy</v>
      </c>
      <c r="R17" s="25" t="str" cm="1">
        <f t="array" ref="R17">_xlfn.IFS(P17="NA","NA",P17&lt;=2,"Fast",P17&gt;2,"Slow")</f>
        <v>NA</v>
      </c>
      <c r="S17" s="25" t="str">
        <f>_xlfn.XLOOKUP(C17,'Product Master'!$A$2:$A$23,'Product Master'!$B$2:$B$23)</f>
        <v>T-Shirt</v>
      </c>
    </row>
    <row r="18" spans="1:19" ht="16.8" x14ac:dyDescent="0.4">
      <c r="A18" s="1" t="s">
        <v>83</v>
      </c>
      <c r="B18" s="1" t="s">
        <v>75</v>
      </c>
      <c r="C18" s="1" t="s">
        <v>41</v>
      </c>
      <c r="D18" s="1" t="s">
        <v>17</v>
      </c>
      <c r="E18" s="1">
        <v>21</v>
      </c>
      <c r="F18" s="1">
        <v>3</v>
      </c>
      <c r="G18" s="1">
        <v>63</v>
      </c>
      <c r="H18" s="1" t="s">
        <v>18</v>
      </c>
      <c r="I18" s="1" t="s">
        <v>19</v>
      </c>
      <c r="J18" s="1" t="s">
        <v>15</v>
      </c>
      <c r="K18" s="2">
        <v>45105</v>
      </c>
      <c r="L18" s="2">
        <v>45108</v>
      </c>
      <c r="M18" s="2"/>
      <c r="N18" s="1" t="str">
        <f t="shared" si="0"/>
        <v>No</v>
      </c>
      <c r="O18" s="25" t="str">
        <f>_xlfn.XLOOKUP(Orders!C18,'Product Master'!$A$2:$A$23,'Product Master'!$C$2:$C$23)</f>
        <v>Books</v>
      </c>
      <c r="P18" s="26">
        <f t="shared" si="1"/>
        <v>3</v>
      </c>
      <c r="Q18" s="1" t="str">
        <f>_xlfn.XLOOKUP(B18,'Customer Master'!$A$2:$A$50,'Customer Master'!$B$2:$B$50)</f>
        <v>Emily Johnson</v>
      </c>
      <c r="R18" s="25" t="str" cm="1">
        <f t="array" ref="R18">_xlfn.IFS(P18="NA","NA",P18&lt;=2,"Fast",P18&gt;2,"Slow")</f>
        <v>Slow</v>
      </c>
      <c r="S18" s="25" t="str">
        <f>_xlfn.XLOOKUP(C18,'Product Master'!$A$2:$A$23,'Product Master'!$B$2:$B$23)</f>
        <v>Novel</v>
      </c>
    </row>
    <row r="19" spans="1:19" ht="16.8" x14ac:dyDescent="0.4">
      <c r="A19" s="1" t="s">
        <v>84</v>
      </c>
      <c r="B19" s="1" t="s">
        <v>85</v>
      </c>
      <c r="C19" s="1" t="s">
        <v>42</v>
      </c>
      <c r="D19" s="1" t="s">
        <v>33</v>
      </c>
      <c r="E19" s="1">
        <v>70</v>
      </c>
      <c r="F19" s="1">
        <v>5</v>
      </c>
      <c r="G19" s="1">
        <v>350</v>
      </c>
      <c r="H19" s="1" t="s">
        <v>24</v>
      </c>
      <c r="I19" s="1" t="s">
        <v>22</v>
      </c>
      <c r="J19" s="1" t="s">
        <v>27</v>
      </c>
      <c r="K19" s="2">
        <v>45258</v>
      </c>
      <c r="L19" s="2"/>
      <c r="M19" s="2"/>
      <c r="N19" s="1" t="str">
        <f t="shared" si="0"/>
        <v>No</v>
      </c>
      <c r="O19" s="25" t="str">
        <f>_xlfn.XLOOKUP(Orders!C19,'Product Master'!$A$2:$A$23,'Product Master'!$C$2:$C$23)</f>
        <v>Books</v>
      </c>
      <c r="P19" s="26" t="str">
        <f t="shared" si="1"/>
        <v>NA</v>
      </c>
      <c r="Q19" s="1" t="str">
        <f>_xlfn.XLOOKUP(B19,'Customer Master'!$A$2:$A$50,'Customer Master'!$B$2:$B$50)</f>
        <v>Mason Hall</v>
      </c>
      <c r="R19" s="25" t="str" cm="1">
        <f t="array" ref="R19">_xlfn.IFS(P19="NA","NA",P19&lt;=2,"Fast",P19&gt;2,"Slow")</f>
        <v>NA</v>
      </c>
      <c r="S19" s="25" t="str">
        <f>_xlfn.XLOOKUP(C19,'Product Master'!$A$2:$A$23,'Product Master'!$B$2:$B$23)</f>
        <v>Textbook</v>
      </c>
    </row>
    <row r="20" spans="1:19" ht="16.8" x14ac:dyDescent="0.4">
      <c r="A20" s="1" t="s">
        <v>86</v>
      </c>
      <c r="B20" s="1" t="s">
        <v>87</v>
      </c>
      <c r="C20" s="1" t="s">
        <v>38</v>
      </c>
      <c r="D20" s="1" t="s">
        <v>21</v>
      </c>
      <c r="E20" s="1">
        <v>94</v>
      </c>
      <c r="F20" s="1">
        <v>4</v>
      </c>
      <c r="G20" s="1">
        <v>376</v>
      </c>
      <c r="H20" s="1" t="s">
        <v>18</v>
      </c>
      <c r="I20" s="1" t="s">
        <v>22</v>
      </c>
      <c r="J20" s="1" t="s">
        <v>23</v>
      </c>
      <c r="K20" s="2">
        <v>45163</v>
      </c>
      <c r="L20" s="2"/>
      <c r="M20" s="2"/>
      <c r="N20" s="1" t="str">
        <f t="shared" si="0"/>
        <v>No</v>
      </c>
      <c r="O20" s="25" t="str">
        <f>_xlfn.XLOOKUP(Orders!C20,'Product Master'!$A$2:$A$23,'Product Master'!$C$2:$C$23)</f>
        <v>Fashion</v>
      </c>
      <c r="P20" s="26" t="str">
        <f t="shared" si="1"/>
        <v>NA</v>
      </c>
      <c r="Q20" s="1" t="str">
        <f>_xlfn.XLOOKUP(B20,'Customer Master'!$A$2:$A$50,'Customer Master'!$B$2:$B$50)</f>
        <v>Jacob Price</v>
      </c>
      <c r="R20" s="25" t="str" cm="1">
        <f t="array" ref="R20">_xlfn.IFS(P20="NA","NA",P20&lt;=2,"Fast",P20&gt;2,"Slow")</f>
        <v>NA</v>
      </c>
      <c r="S20" s="25" t="str">
        <f>_xlfn.XLOOKUP(C20,'Product Master'!$A$2:$A$23,'Product Master'!$B$2:$B$23)</f>
        <v>Shoes</v>
      </c>
    </row>
    <row r="21" spans="1:19" ht="16.8" x14ac:dyDescent="0.4">
      <c r="A21" s="1" t="s">
        <v>88</v>
      </c>
      <c r="B21" s="1" t="s">
        <v>89</v>
      </c>
      <c r="C21" s="1" t="s">
        <v>43</v>
      </c>
      <c r="D21" s="1" t="s">
        <v>12</v>
      </c>
      <c r="E21" s="1">
        <v>813</v>
      </c>
      <c r="F21" s="1">
        <v>2</v>
      </c>
      <c r="G21" s="1">
        <v>1626</v>
      </c>
      <c r="H21" s="1" t="s">
        <v>18</v>
      </c>
      <c r="I21" s="1" t="s">
        <v>22</v>
      </c>
      <c r="J21" s="1" t="s">
        <v>37</v>
      </c>
      <c r="K21" s="2">
        <v>45028</v>
      </c>
      <c r="L21" s="2"/>
      <c r="M21" s="2"/>
      <c r="N21" s="1" t="str">
        <f t="shared" si="0"/>
        <v>No</v>
      </c>
      <c r="O21" s="25" t="str">
        <f>_xlfn.XLOOKUP(Orders!C21,'Product Master'!$A$2:$A$23,'Product Master'!$C$2:$C$23)</f>
        <v>Electronics</v>
      </c>
      <c r="P21" s="26" t="str">
        <f t="shared" si="1"/>
        <v>NA</v>
      </c>
      <c r="Q21" s="1" t="str">
        <f>_xlfn.XLOOKUP(B21,'Customer Master'!$A$2:$A$50,'Customer Master'!$B$2:$B$50)</f>
        <v>Emma King</v>
      </c>
      <c r="R21" s="25" t="str" cm="1">
        <f t="array" ref="R21">_xlfn.IFS(P21="NA","NA",P21&lt;=2,"Fast",P21&gt;2,"Slow")</f>
        <v>NA</v>
      </c>
      <c r="S21" s="25" t="str">
        <f>_xlfn.XLOOKUP(C21,'Product Master'!$A$2:$A$23,'Product Master'!$B$2:$B$23)</f>
        <v>Smartphone</v>
      </c>
    </row>
    <row r="22" spans="1:19" ht="16.8" x14ac:dyDescent="0.4">
      <c r="A22" s="1" t="s">
        <v>90</v>
      </c>
      <c r="B22" s="1" t="s">
        <v>70</v>
      </c>
      <c r="C22" s="1" t="s">
        <v>41</v>
      </c>
      <c r="D22" s="1" t="s">
        <v>30</v>
      </c>
      <c r="E22" s="1">
        <v>21</v>
      </c>
      <c r="F22" s="1">
        <v>4</v>
      </c>
      <c r="G22" s="1">
        <v>84</v>
      </c>
      <c r="H22" s="1" t="s">
        <v>24</v>
      </c>
      <c r="I22" s="1" t="s">
        <v>22</v>
      </c>
      <c r="J22" s="1" t="s">
        <v>27</v>
      </c>
      <c r="K22" s="2">
        <v>45201</v>
      </c>
      <c r="L22" s="2"/>
      <c r="M22" s="2"/>
      <c r="N22" s="1" t="str">
        <f t="shared" si="0"/>
        <v>No</v>
      </c>
      <c r="O22" s="25" t="str">
        <f>_xlfn.XLOOKUP(Orders!C22,'Product Master'!$A$2:$A$23,'Product Master'!$C$2:$C$23)</f>
        <v>Books</v>
      </c>
      <c r="P22" s="26" t="str">
        <f t="shared" si="1"/>
        <v>NA</v>
      </c>
      <c r="Q22" s="1" t="str">
        <f>_xlfn.XLOOKUP(B22,'Customer Master'!$A$2:$A$50,'Customer Master'!$B$2:$B$50)</f>
        <v>Olivia Martinez</v>
      </c>
      <c r="R22" s="25" t="str" cm="1">
        <f t="array" ref="R22">_xlfn.IFS(P22="NA","NA",P22&lt;=2,"Fast",P22&gt;2,"Slow")</f>
        <v>NA</v>
      </c>
      <c r="S22" s="25" t="str">
        <f>_xlfn.XLOOKUP(C22,'Product Master'!$A$2:$A$23,'Product Master'!$B$2:$B$23)</f>
        <v>Novel</v>
      </c>
    </row>
    <row r="23" spans="1:19" ht="16.8" x14ac:dyDescent="0.4">
      <c r="A23" s="1" t="s">
        <v>91</v>
      </c>
      <c r="B23" s="1" t="s">
        <v>77</v>
      </c>
      <c r="C23" s="1" t="s">
        <v>11</v>
      </c>
      <c r="D23" s="1" t="s">
        <v>33</v>
      </c>
      <c r="E23" s="1">
        <v>46</v>
      </c>
      <c r="F23" s="1">
        <v>5</v>
      </c>
      <c r="G23" s="1">
        <v>230</v>
      </c>
      <c r="H23" s="1" t="s">
        <v>24</v>
      </c>
      <c r="I23" s="1" t="s">
        <v>22</v>
      </c>
      <c r="J23" s="1" t="s">
        <v>23</v>
      </c>
      <c r="K23" s="2">
        <v>45239</v>
      </c>
      <c r="L23" s="2"/>
      <c r="M23" s="2"/>
      <c r="N23" s="1" t="str">
        <f t="shared" si="0"/>
        <v>No</v>
      </c>
      <c r="O23" s="25" t="str">
        <f>_xlfn.XLOOKUP(Orders!C23,'Product Master'!$A$2:$A$23,'Product Master'!$C$2:$C$23)</f>
        <v>Home</v>
      </c>
      <c r="P23" s="26" t="str">
        <f t="shared" si="1"/>
        <v>NA</v>
      </c>
      <c r="Q23" s="1" t="str">
        <f>_xlfn.XLOOKUP(B23,'Customer Master'!$A$2:$A$50,'Customer Master'!$B$2:$B$50)</f>
        <v>Charlotte Reed</v>
      </c>
      <c r="R23" s="25" t="str" cm="1">
        <f t="array" ref="R23">_xlfn.IFS(P23="NA","NA",P23&lt;=2,"Fast",P23&gt;2,"Slow")</f>
        <v>NA</v>
      </c>
      <c r="S23" s="25" t="str">
        <f>_xlfn.XLOOKUP(C23,'Product Master'!$A$2:$A$23,'Product Master'!$B$2:$B$23)</f>
        <v>Lamp</v>
      </c>
    </row>
    <row r="24" spans="1:19" ht="16.8" x14ac:dyDescent="0.4">
      <c r="A24" s="1" t="s">
        <v>92</v>
      </c>
      <c r="B24" s="1" t="s">
        <v>93</v>
      </c>
      <c r="C24" s="1" t="s">
        <v>26</v>
      </c>
      <c r="D24" s="1" t="s">
        <v>33</v>
      </c>
      <c r="E24" s="1">
        <v>58</v>
      </c>
      <c r="F24" s="1">
        <v>3</v>
      </c>
      <c r="G24" s="1">
        <v>174</v>
      </c>
      <c r="H24" s="1" t="s">
        <v>28</v>
      </c>
      <c r="I24" s="1" t="s">
        <v>14</v>
      </c>
      <c r="J24" s="1" t="s">
        <v>27</v>
      </c>
      <c r="K24" s="2">
        <v>44970</v>
      </c>
      <c r="L24" s="2"/>
      <c r="M24" s="2">
        <v>44971</v>
      </c>
      <c r="N24" s="1" t="str">
        <f t="shared" si="0"/>
        <v>yes</v>
      </c>
      <c r="O24" s="25" t="str">
        <f>_xlfn.XLOOKUP(Orders!C24,'Product Master'!$A$2:$A$23,'Product Master'!$C$2:$C$23)</f>
        <v>Fashion</v>
      </c>
      <c r="P24" s="26" t="str">
        <f t="shared" si="1"/>
        <v>NA</v>
      </c>
      <c r="Q24" s="1" t="str">
        <f>_xlfn.XLOOKUP(B24,'Customer Master'!$A$2:$A$50,'Customer Master'!$B$2:$B$50)</f>
        <v>Elijah Lewis</v>
      </c>
      <c r="R24" s="25" t="str" cm="1">
        <f t="array" ref="R24">_xlfn.IFS(P24="NA","NA",P24&lt;=2,"Fast",P24&gt;2,"Slow")</f>
        <v>NA</v>
      </c>
      <c r="S24" s="25" t="str">
        <f>_xlfn.XLOOKUP(C24,'Product Master'!$A$2:$A$23,'Product Master'!$B$2:$B$23)</f>
        <v>Jeans</v>
      </c>
    </row>
    <row r="25" spans="1:19" ht="16.8" x14ac:dyDescent="0.4">
      <c r="A25" s="1" t="s">
        <v>94</v>
      </c>
      <c r="B25" s="1" t="s">
        <v>95</v>
      </c>
      <c r="C25" s="1" t="s">
        <v>38</v>
      </c>
      <c r="D25" s="1" t="s">
        <v>33</v>
      </c>
      <c r="E25" s="1">
        <v>96</v>
      </c>
      <c r="F25" s="1">
        <v>5</v>
      </c>
      <c r="G25" s="1">
        <v>480</v>
      </c>
      <c r="H25" s="1" t="s">
        <v>28</v>
      </c>
      <c r="I25" s="1" t="s">
        <v>19</v>
      </c>
      <c r="J25" s="1" t="s">
        <v>27</v>
      </c>
      <c r="K25" s="2">
        <v>45232</v>
      </c>
      <c r="L25" s="2">
        <v>45235</v>
      </c>
      <c r="M25" s="2"/>
      <c r="N25" s="1" t="str">
        <f t="shared" si="0"/>
        <v>No</v>
      </c>
      <c r="O25" s="25" t="str">
        <f>_xlfn.XLOOKUP(Orders!C25,'Product Master'!$A$2:$A$23,'Product Master'!$C$2:$C$23)</f>
        <v>Fashion</v>
      </c>
      <c r="P25" s="26">
        <f t="shared" si="1"/>
        <v>3</v>
      </c>
      <c r="Q25" s="1" t="str">
        <f>_xlfn.XLOOKUP(B25,'Customer Master'!$A$2:$A$50,'Customer Master'!$B$2:$B$50)</f>
        <v>Lily Bennett</v>
      </c>
      <c r="R25" s="25" t="str" cm="1">
        <f t="array" ref="R25">_xlfn.IFS(P25="NA","NA",P25&lt;=2,"Fast",P25&gt;2,"Slow")</f>
        <v>Slow</v>
      </c>
      <c r="S25" s="25" t="str">
        <f>_xlfn.XLOOKUP(C25,'Product Master'!$A$2:$A$23,'Product Master'!$B$2:$B$23)</f>
        <v>Shoes</v>
      </c>
    </row>
    <row r="26" spans="1:19" ht="16.8" x14ac:dyDescent="0.4">
      <c r="A26" s="1" t="s">
        <v>96</v>
      </c>
      <c r="B26" s="1" t="s">
        <v>97</v>
      </c>
      <c r="C26" s="1" t="s">
        <v>44</v>
      </c>
      <c r="D26" s="1" t="s">
        <v>21</v>
      </c>
      <c r="E26" s="1">
        <v>43</v>
      </c>
      <c r="F26" s="1">
        <v>1</v>
      </c>
      <c r="G26" s="1">
        <v>43</v>
      </c>
      <c r="H26" s="1" t="s">
        <v>31</v>
      </c>
      <c r="I26" s="1" t="s">
        <v>19</v>
      </c>
      <c r="J26" s="1" t="s">
        <v>27</v>
      </c>
      <c r="K26" s="2">
        <v>45074</v>
      </c>
      <c r="L26" s="2">
        <v>45076</v>
      </c>
      <c r="M26" s="2"/>
      <c r="N26" s="1" t="str">
        <f t="shared" si="0"/>
        <v>No</v>
      </c>
      <c r="O26" s="25" t="str">
        <f>_xlfn.XLOOKUP(Orders!C26,'Product Master'!$A$2:$A$23,'Product Master'!$C$2:$C$23)</f>
        <v>Toys</v>
      </c>
      <c r="P26" s="26">
        <f t="shared" si="1"/>
        <v>2</v>
      </c>
      <c r="Q26" s="1" t="str">
        <f>_xlfn.XLOOKUP(B26,'Customer Master'!$A$2:$A$50,'Customer Master'!$B$2:$B$50)</f>
        <v>Benjamin Clark</v>
      </c>
      <c r="R26" s="25" t="str" cm="1">
        <f t="array" ref="R26">_xlfn.IFS(P26="NA","NA",P26&lt;=2,"Fast",P26&gt;2,"Slow")</f>
        <v>Fast</v>
      </c>
      <c r="S26" s="25" t="str">
        <f>_xlfn.XLOOKUP(C26,'Product Master'!$A$2:$A$23,'Product Master'!$B$2:$B$23)</f>
        <v>Action Figure</v>
      </c>
    </row>
    <row r="27" spans="1:19" ht="16.8" x14ac:dyDescent="0.4">
      <c r="A27" s="1" t="s">
        <v>98</v>
      </c>
      <c r="B27" s="1" t="s">
        <v>62</v>
      </c>
      <c r="C27" s="1" t="s">
        <v>45</v>
      </c>
      <c r="D27" s="1" t="s">
        <v>21</v>
      </c>
      <c r="E27" s="1">
        <v>64</v>
      </c>
      <c r="F27" s="1">
        <v>4</v>
      </c>
      <c r="G27" s="1">
        <v>256</v>
      </c>
      <c r="H27" s="1" t="s">
        <v>31</v>
      </c>
      <c r="I27" s="1" t="s">
        <v>19</v>
      </c>
      <c r="J27" s="1" t="s">
        <v>23</v>
      </c>
      <c r="K27" s="2">
        <v>45214</v>
      </c>
      <c r="L27" s="2">
        <v>45220</v>
      </c>
      <c r="M27" s="2"/>
      <c r="N27" s="1" t="str">
        <f t="shared" si="0"/>
        <v>No</v>
      </c>
      <c r="O27" s="25" t="str">
        <f>_xlfn.XLOOKUP(Orders!C27,'Product Master'!$A$2:$A$23,'Product Master'!$C$2:$C$23)</f>
        <v>Fashion</v>
      </c>
      <c r="P27" s="26">
        <f t="shared" si="1"/>
        <v>6</v>
      </c>
      <c r="Q27" s="1" t="str">
        <f>_xlfn.XLOOKUP(B27,'Customer Master'!$A$2:$A$50,'Customer Master'!$B$2:$B$50)</f>
        <v>Hazel Brooks</v>
      </c>
      <c r="R27" s="25" t="str" cm="1">
        <f t="array" ref="R27">_xlfn.IFS(P27="NA","NA",P27&lt;=2,"Fast",P27&gt;2,"Slow")</f>
        <v>Slow</v>
      </c>
      <c r="S27" s="25" t="str">
        <f>_xlfn.XLOOKUP(C27,'Product Master'!$A$2:$A$23,'Product Master'!$B$2:$B$23)</f>
        <v>Backpack</v>
      </c>
    </row>
    <row r="28" spans="1:19" ht="16.8" x14ac:dyDescent="0.4">
      <c r="A28" s="1" t="s">
        <v>99</v>
      </c>
      <c r="B28" s="1" t="s">
        <v>100</v>
      </c>
      <c r="C28" s="1" t="s">
        <v>42</v>
      </c>
      <c r="D28" s="1" t="s">
        <v>21</v>
      </c>
      <c r="E28" s="1">
        <v>70</v>
      </c>
      <c r="F28" s="1">
        <v>2</v>
      </c>
      <c r="G28" s="1">
        <v>140</v>
      </c>
      <c r="H28" s="1" t="s">
        <v>28</v>
      </c>
      <c r="I28" s="1" t="s">
        <v>22</v>
      </c>
      <c r="J28" s="1" t="s">
        <v>27</v>
      </c>
      <c r="K28" s="2">
        <v>44942</v>
      </c>
      <c r="L28" s="2"/>
      <c r="M28" s="2"/>
      <c r="N28" s="1" t="str">
        <f t="shared" si="0"/>
        <v>No</v>
      </c>
      <c r="O28" s="25" t="str">
        <f>_xlfn.XLOOKUP(Orders!C28,'Product Master'!$A$2:$A$23,'Product Master'!$C$2:$C$23)</f>
        <v>Books</v>
      </c>
      <c r="P28" s="26" t="str">
        <f t="shared" si="1"/>
        <v>NA</v>
      </c>
      <c r="Q28" s="1" t="str">
        <f>_xlfn.XLOOKUP(B28,'Customer Master'!$A$2:$A$50,'Customer Master'!$B$2:$B$50)</f>
        <v>Grace Scott</v>
      </c>
      <c r="R28" s="25" t="str" cm="1">
        <f t="array" ref="R28">_xlfn.IFS(P28="NA","NA",P28&lt;=2,"Fast",P28&gt;2,"Slow")</f>
        <v>NA</v>
      </c>
      <c r="S28" s="25" t="str">
        <f>_xlfn.XLOOKUP(C28,'Product Master'!$A$2:$A$23,'Product Master'!$B$2:$B$23)</f>
        <v>Textbook</v>
      </c>
    </row>
    <row r="29" spans="1:19" ht="16.8" x14ac:dyDescent="0.4">
      <c r="A29" s="1" t="s">
        <v>101</v>
      </c>
      <c r="B29" s="1" t="s">
        <v>100</v>
      </c>
      <c r="C29" s="1" t="s">
        <v>16</v>
      </c>
      <c r="D29" s="1" t="s">
        <v>30</v>
      </c>
      <c r="E29" s="1">
        <v>97</v>
      </c>
      <c r="F29" s="1">
        <v>3</v>
      </c>
      <c r="G29" s="1">
        <v>291</v>
      </c>
      <c r="H29" s="1" t="s">
        <v>18</v>
      </c>
      <c r="I29" s="1" t="s">
        <v>22</v>
      </c>
      <c r="J29" s="1" t="s">
        <v>27</v>
      </c>
      <c r="K29" s="2">
        <v>45208</v>
      </c>
      <c r="L29" s="2"/>
      <c r="M29" s="2"/>
      <c r="N29" s="1" t="str">
        <f t="shared" si="0"/>
        <v>No</v>
      </c>
      <c r="O29" s="25" t="str">
        <f>_xlfn.XLOOKUP(Orders!C29,'Product Master'!$A$2:$A$23,'Product Master'!$C$2:$C$23)</f>
        <v>Toys</v>
      </c>
      <c r="P29" s="26" t="str">
        <f t="shared" si="1"/>
        <v>NA</v>
      </c>
      <c r="Q29" s="1" t="str">
        <f>_xlfn.XLOOKUP(B29,'Customer Master'!$A$2:$A$50,'Customer Master'!$B$2:$B$50)</f>
        <v>Grace Scott</v>
      </c>
      <c r="R29" s="25" t="str" cm="1">
        <f t="array" ref="R29">_xlfn.IFS(P29="NA","NA",P29&lt;=2,"Fast",P29&gt;2,"Slow")</f>
        <v>NA</v>
      </c>
      <c r="S29" s="25" t="str">
        <f>_xlfn.XLOOKUP(C29,'Product Master'!$A$2:$A$23,'Product Master'!$B$2:$B$23)</f>
        <v>Doll House</v>
      </c>
    </row>
    <row r="30" spans="1:19" ht="16.8" x14ac:dyDescent="0.4">
      <c r="A30" s="1" t="s">
        <v>102</v>
      </c>
      <c r="B30" s="1" t="s">
        <v>103</v>
      </c>
      <c r="C30" s="1" t="s">
        <v>32</v>
      </c>
      <c r="D30" s="1" t="s">
        <v>17</v>
      </c>
      <c r="E30" s="1">
        <v>37</v>
      </c>
      <c r="F30" s="1">
        <v>3</v>
      </c>
      <c r="G30" s="1">
        <v>111</v>
      </c>
      <c r="H30" s="1" t="s">
        <v>13</v>
      </c>
      <c r="I30" s="1" t="s">
        <v>14</v>
      </c>
      <c r="J30" s="1" t="s">
        <v>15</v>
      </c>
      <c r="K30" s="2">
        <v>45206</v>
      </c>
      <c r="L30" s="2"/>
      <c r="M30" s="2">
        <v>45209</v>
      </c>
      <c r="N30" s="1" t="str">
        <f t="shared" si="0"/>
        <v>yes</v>
      </c>
      <c r="O30" s="25" t="str">
        <f>_xlfn.XLOOKUP(Orders!C30,'Product Master'!$A$2:$A$23,'Product Master'!$C$2:$C$23)</f>
        <v>Home</v>
      </c>
      <c r="P30" s="26" t="str">
        <f t="shared" si="1"/>
        <v>NA</v>
      </c>
      <c r="Q30" s="1" t="str">
        <f>_xlfn.XLOOKUP(B30,'Customer Master'!$A$2:$A$50,'Customer Master'!$B$2:$B$50)</f>
        <v>Liam Walker</v>
      </c>
      <c r="R30" s="25" t="str" cm="1">
        <f t="array" ref="R30">_xlfn.IFS(P30="NA","NA",P30&lt;=2,"Fast",P30&gt;2,"Slow")</f>
        <v>NA</v>
      </c>
      <c r="S30" s="25" t="str">
        <f>_xlfn.XLOOKUP(C30,'Product Master'!$A$2:$A$23,'Product Master'!$B$2:$B$23)</f>
        <v>Wall Clock</v>
      </c>
    </row>
    <row r="31" spans="1:19" ht="16.8" x14ac:dyDescent="0.4">
      <c r="A31" s="1" t="s">
        <v>104</v>
      </c>
      <c r="B31" s="1" t="s">
        <v>105</v>
      </c>
      <c r="C31" s="1" t="s">
        <v>42</v>
      </c>
      <c r="D31" s="1" t="s">
        <v>12</v>
      </c>
      <c r="E31" s="1">
        <v>69</v>
      </c>
      <c r="F31" s="1">
        <v>5</v>
      </c>
      <c r="G31" s="1">
        <v>345</v>
      </c>
      <c r="H31" s="1" t="s">
        <v>28</v>
      </c>
      <c r="I31" s="1" t="s">
        <v>22</v>
      </c>
      <c r="J31" s="1" t="s">
        <v>27</v>
      </c>
      <c r="K31" s="2">
        <v>44971</v>
      </c>
      <c r="L31" s="2"/>
      <c r="M31" s="2"/>
      <c r="N31" s="1" t="str">
        <f t="shared" si="0"/>
        <v>No</v>
      </c>
      <c r="O31" s="25" t="str">
        <f>_xlfn.XLOOKUP(Orders!C31,'Product Master'!$A$2:$A$23,'Product Master'!$C$2:$C$23)</f>
        <v>Books</v>
      </c>
      <c r="P31" s="26" t="str">
        <f t="shared" si="1"/>
        <v>NA</v>
      </c>
      <c r="Q31" s="1" t="str">
        <f>_xlfn.XLOOKUP(B31,'Customer Master'!$A$2:$A$50,'Customer Master'!$B$2:$B$50)</f>
        <v>Harper Young</v>
      </c>
      <c r="R31" s="25" t="str" cm="1">
        <f t="array" ref="R31">_xlfn.IFS(P31="NA","NA",P31&lt;=2,"Fast",P31&gt;2,"Slow")</f>
        <v>NA</v>
      </c>
      <c r="S31" s="25" t="str">
        <f>_xlfn.XLOOKUP(C31,'Product Master'!$A$2:$A$23,'Product Master'!$B$2:$B$23)</f>
        <v>Textbook</v>
      </c>
    </row>
    <row r="32" spans="1:19" ht="16.8" x14ac:dyDescent="0.4">
      <c r="A32" s="1" t="s">
        <v>106</v>
      </c>
      <c r="B32" s="1" t="s">
        <v>107</v>
      </c>
      <c r="C32" s="1" t="s">
        <v>44</v>
      </c>
      <c r="D32" s="1" t="s">
        <v>12</v>
      </c>
      <c r="E32" s="1">
        <v>42</v>
      </c>
      <c r="F32" s="1">
        <v>5</v>
      </c>
      <c r="G32" s="1">
        <v>210</v>
      </c>
      <c r="H32" s="1" t="s">
        <v>28</v>
      </c>
      <c r="I32" s="1" t="s">
        <v>22</v>
      </c>
      <c r="J32" s="1" t="s">
        <v>25</v>
      </c>
      <c r="K32" s="2">
        <v>45011</v>
      </c>
      <c r="L32" s="2"/>
      <c r="M32" s="2"/>
      <c r="N32" s="1" t="str">
        <f t="shared" si="0"/>
        <v>No</v>
      </c>
      <c r="O32" s="25" t="str">
        <f>_xlfn.XLOOKUP(Orders!C32,'Product Master'!$A$2:$A$23,'Product Master'!$C$2:$C$23)</f>
        <v>Toys</v>
      </c>
      <c r="P32" s="26" t="str">
        <f t="shared" si="1"/>
        <v>NA</v>
      </c>
      <c r="Q32" s="1" t="str">
        <f>_xlfn.XLOOKUP(B32,'Customer Master'!$A$2:$A$50,'Customer Master'!$B$2:$B$50)</f>
        <v>Harper Young</v>
      </c>
      <c r="R32" s="25" t="str" cm="1">
        <f t="array" ref="R32">_xlfn.IFS(P32="NA","NA",P32&lt;=2,"Fast",P32&gt;2,"Slow")</f>
        <v>NA</v>
      </c>
      <c r="S32" s="25" t="str">
        <f>_xlfn.XLOOKUP(C32,'Product Master'!$A$2:$A$23,'Product Master'!$B$2:$B$23)</f>
        <v>Action Figure</v>
      </c>
    </row>
    <row r="33" spans="1:19" ht="16.8" x14ac:dyDescent="0.4">
      <c r="A33" s="1" t="s">
        <v>108</v>
      </c>
      <c r="B33" s="1" t="s">
        <v>109</v>
      </c>
      <c r="C33" s="1" t="s">
        <v>46</v>
      </c>
      <c r="D33" s="1" t="s">
        <v>17</v>
      </c>
      <c r="E33" s="1">
        <v>11</v>
      </c>
      <c r="F33" s="1">
        <v>5</v>
      </c>
      <c r="G33" s="1">
        <v>55</v>
      </c>
      <c r="H33" s="1" t="s">
        <v>31</v>
      </c>
      <c r="I33" s="1" t="s">
        <v>14</v>
      </c>
      <c r="J33" s="1" t="s">
        <v>37</v>
      </c>
      <c r="K33" s="2">
        <v>45092</v>
      </c>
      <c r="L33" s="2"/>
      <c r="M33" s="2">
        <v>45099</v>
      </c>
      <c r="N33" s="1" t="str">
        <f t="shared" si="0"/>
        <v>yes</v>
      </c>
      <c r="O33" s="25" t="str">
        <f>_xlfn.XLOOKUP(Orders!C33,'Product Master'!$A$2:$A$23,'Product Master'!$C$2:$C$23)</f>
        <v>Books</v>
      </c>
      <c r="P33" s="26" t="str">
        <f t="shared" si="1"/>
        <v>NA</v>
      </c>
      <c r="Q33" s="1" t="str">
        <f>_xlfn.XLOOKUP(B33,'Customer Master'!$A$2:$A$50,'Customer Master'!$B$2:$B$50)</f>
        <v>Emily Johnson</v>
      </c>
      <c r="R33" s="25" t="str" cm="1">
        <f t="array" ref="R33">_xlfn.IFS(P33="NA","NA",P33&lt;=2,"Fast",P33&gt;2,"Slow")</f>
        <v>NA</v>
      </c>
      <c r="S33" s="25" t="str">
        <f>_xlfn.XLOOKUP(C33,'Product Master'!$A$2:$A$23,'Product Master'!$B$2:$B$23)</f>
        <v>Magazine</v>
      </c>
    </row>
    <row r="34" spans="1:19" ht="16.8" x14ac:dyDescent="0.4">
      <c r="A34" s="1" t="s">
        <v>110</v>
      </c>
      <c r="B34" s="1" t="s">
        <v>93</v>
      </c>
      <c r="C34" s="1" t="s">
        <v>40</v>
      </c>
      <c r="D34" s="1" t="s">
        <v>21</v>
      </c>
      <c r="E34" s="1">
        <v>27</v>
      </c>
      <c r="F34" s="1">
        <v>2</v>
      </c>
      <c r="G34" s="1">
        <v>54</v>
      </c>
      <c r="H34" s="1" t="s">
        <v>13</v>
      </c>
      <c r="I34" s="1" t="s">
        <v>19</v>
      </c>
      <c r="J34" s="1" t="s">
        <v>23</v>
      </c>
      <c r="K34" s="2">
        <v>45068</v>
      </c>
      <c r="L34" s="2">
        <v>45069</v>
      </c>
      <c r="M34" s="2"/>
      <c r="N34" s="1" t="str">
        <f t="shared" si="0"/>
        <v>No</v>
      </c>
      <c r="O34" s="25" t="str">
        <f>_xlfn.XLOOKUP(Orders!C34,'Product Master'!$A$2:$A$23,'Product Master'!$C$2:$C$23)</f>
        <v>Fashion</v>
      </c>
      <c r="P34" s="26">
        <f t="shared" si="1"/>
        <v>1</v>
      </c>
      <c r="Q34" s="1" t="str">
        <f>_xlfn.XLOOKUP(B34,'Customer Master'!$A$2:$A$50,'Customer Master'!$B$2:$B$50)</f>
        <v>Elijah Lewis</v>
      </c>
      <c r="R34" s="25" t="str" cm="1">
        <f t="array" ref="R34">_xlfn.IFS(P34="NA","NA",P34&lt;=2,"Fast",P34&gt;2,"Slow")</f>
        <v>Fast</v>
      </c>
      <c r="S34" s="25" t="str">
        <f>_xlfn.XLOOKUP(C34,'Product Master'!$A$2:$A$23,'Product Master'!$B$2:$B$23)</f>
        <v>T-Shirt</v>
      </c>
    </row>
    <row r="35" spans="1:19" ht="16.8" x14ac:dyDescent="0.4">
      <c r="A35" s="1" t="s">
        <v>111</v>
      </c>
      <c r="B35" s="1" t="s">
        <v>89</v>
      </c>
      <c r="C35" s="1" t="s">
        <v>41</v>
      </c>
      <c r="D35" s="1" t="s">
        <v>21</v>
      </c>
      <c r="E35" s="1">
        <v>21</v>
      </c>
      <c r="F35" s="1">
        <v>1</v>
      </c>
      <c r="G35" s="1">
        <v>21</v>
      </c>
      <c r="H35" s="1" t="s">
        <v>28</v>
      </c>
      <c r="I35" s="1" t="s">
        <v>22</v>
      </c>
      <c r="J35" s="1" t="s">
        <v>15</v>
      </c>
      <c r="K35" s="2">
        <v>45250</v>
      </c>
      <c r="L35" s="2"/>
      <c r="M35" s="2"/>
      <c r="N35" s="1" t="str">
        <f t="shared" si="0"/>
        <v>No</v>
      </c>
      <c r="O35" s="25" t="str">
        <f>_xlfn.XLOOKUP(Orders!C35,'Product Master'!$A$2:$A$23,'Product Master'!$C$2:$C$23)</f>
        <v>Books</v>
      </c>
      <c r="P35" s="26" t="str">
        <f t="shared" si="1"/>
        <v>NA</v>
      </c>
      <c r="Q35" s="1" t="str">
        <f>_xlfn.XLOOKUP(B35,'Customer Master'!$A$2:$A$50,'Customer Master'!$B$2:$B$50)</f>
        <v>Emma King</v>
      </c>
      <c r="R35" s="25" t="str" cm="1">
        <f t="array" ref="R35">_xlfn.IFS(P35="NA","NA",P35&lt;=2,"Fast",P35&gt;2,"Slow")</f>
        <v>NA</v>
      </c>
      <c r="S35" s="25" t="str">
        <f>_xlfn.XLOOKUP(C35,'Product Master'!$A$2:$A$23,'Product Master'!$B$2:$B$23)</f>
        <v>Novel</v>
      </c>
    </row>
    <row r="36" spans="1:19" ht="16.8" x14ac:dyDescent="0.4">
      <c r="A36" s="1" t="s">
        <v>112</v>
      </c>
      <c r="B36" s="1" t="s">
        <v>113</v>
      </c>
      <c r="C36" s="1" t="s">
        <v>47</v>
      </c>
      <c r="D36" s="1" t="s">
        <v>21</v>
      </c>
      <c r="E36" s="1">
        <v>172</v>
      </c>
      <c r="F36" s="1">
        <v>1</v>
      </c>
      <c r="G36" s="1">
        <v>172</v>
      </c>
      <c r="H36" s="1" t="s">
        <v>24</v>
      </c>
      <c r="I36" s="1" t="s">
        <v>19</v>
      </c>
      <c r="J36" s="1" t="s">
        <v>23</v>
      </c>
      <c r="K36" s="2">
        <v>45282</v>
      </c>
      <c r="L36" s="2">
        <v>45286</v>
      </c>
      <c r="M36" s="2"/>
      <c r="N36" s="1" t="str">
        <f t="shared" si="0"/>
        <v>No</v>
      </c>
      <c r="O36" s="25" t="str">
        <f>_xlfn.XLOOKUP(Orders!C36,'Product Master'!$A$2:$A$23,'Product Master'!$C$2:$C$23)</f>
        <v>Electronics</v>
      </c>
      <c r="P36" s="26">
        <f t="shared" si="1"/>
        <v>4</v>
      </c>
      <c r="Q36" s="1" t="str">
        <f>_xlfn.XLOOKUP(B36,'Customer Master'!$A$2:$A$50,'Customer Master'!$B$2:$B$50)</f>
        <v>Luke Gray</v>
      </c>
      <c r="R36" s="25" t="str" cm="1">
        <f t="array" ref="R36">_xlfn.IFS(P36="NA","NA",P36&lt;=2,"Fast",P36&gt;2,"Slow")</f>
        <v>Slow</v>
      </c>
      <c r="S36" s="25" t="str">
        <f>_xlfn.XLOOKUP(C36,'Product Master'!$A$2:$A$23,'Product Master'!$B$2:$B$23)</f>
        <v>Headphones</v>
      </c>
    </row>
    <row r="37" spans="1:19" ht="16.8" x14ac:dyDescent="0.4">
      <c r="A37" s="1" t="s">
        <v>114</v>
      </c>
      <c r="B37" s="1" t="s">
        <v>107</v>
      </c>
      <c r="C37" s="1" t="s">
        <v>48</v>
      </c>
      <c r="D37" s="1" t="s">
        <v>12</v>
      </c>
      <c r="E37" s="1">
        <v>212</v>
      </c>
      <c r="F37" s="1">
        <v>3</v>
      </c>
      <c r="G37" s="1">
        <v>636</v>
      </c>
      <c r="H37" s="1" t="s">
        <v>28</v>
      </c>
      <c r="I37" s="1" t="s">
        <v>22</v>
      </c>
      <c r="J37" s="1" t="s">
        <v>25</v>
      </c>
      <c r="K37" s="2">
        <v>45130</v>
      </c>
      <c r="L37" s="2"/>
      <c r="M37" s="2"/>
      <c r="N37" s="1" t="str">
        <f t="shared" si="0"/>
        <v>No</v>
      </c>
      <c r="O37" s="25" t="str">
        <f>_xlfn.XLOOKUP(Orders!C37,'Product Master'!$A$2:$A$23,'Product Master'!$C$2:$C$23)</f>
        <v>Home</v>
      </c>
      <c r="P37" s="26" t="str">
        <f t="shared" si="1"/>
        <v>NA</v>
      </c>
      <c r="Q37" s="1" t="str">
        <f>_xlfn.XLOOKUP(B37,'Customer Master'!$A$2:$A$50,'Customer Master'!$B$2:$B$50)</f>
        <v>Harper Young</v>
      </c>
      <c r="R37" s="25" t="str" cm="1">
        <f t="array" ref="R37">_xlfn.IFS(P37="NA","NA",P37&lt;=2,"Fast",P37&gt;2,"Slow")</f>
        <v>NA</v>
      </c>
      <c r="S37" s="25" t="str">
        <f>_xlfn.XLOOKUP(C37,'Product Master'!$A$2:$A$23,'Product Master'!$B$2:$B$23)</f>
        <v>Cookware Set Pro</v>
      </c>
    </row>
    <row r="38" spans="1:19" ht="16.8" x14ac:dyDescent="0.4">
      <c r="A38" s="1" t="s">
        <v>115</v>
      </c>
      <c r="B38" s="1" t="s">
        <v>60</v>
      </c>
      <c r="C38" s="1" t="s">
        <v>44</v>
      </c>
      <c r="D38" s="1" t="s">
        <v>17</v>
      </c>
      <c r="E38" s="1">
        <v>41</v>
      </c>
      <c r="F38" s="1">
        <v>4</v>
      </c>
      <c r="G38" s="1">
        <v>164</v>
      </c>
      <c r="H38" s="1" t="s">
        <v>18</v>
      </c>
      <c r="I38" s="1" t="s">
        <v>19</v>
      </c>
      <c r="J38" s="1" t="s">
        <v>27</v>
      </c>
      <c r="K38" s="2">
        <v>45216</v>
      </c>
      <c r="L38" s="2">
        <v>45221</v>
      </c>
      <c r="M38" s="2"/>
      <c r="N38" s="1" t="str">
        <f t="shared" si="0"/>
        <v>No</v>
      </c>
      <c r="O38" s="25" t="str">
        <f>_xlfn.XLOOKUP(Orders!C38,'Product Master'!$A$2:$A$23,'Product Master'!$C$2:$C$23)</f>
        <v>Toys</v>
      </c>
      <c r="P38" s="26">
        <f t="shared" si="1"/>
        <v>5</v>
      </c>
      <c r="Q38" s="1" t="str">
        <f>_xlfn.XLOOKUP(B38,'Customer Master'!$A$2:$A$50,'Customer Master'!$B$2:$B$50)</f>
        <v>Grace Ward</v>
      </c>
      <c r="R38" s="25" t="str" cm="1">
        <f t="array" ref="R38">_xlfn.IFS(P38="NA","NA",P38&lt;=2,"Fast",P38&gt;2,"Slow")</f>
        <v>Slow</v>
      </c>
      <c r="S38" s="25" t="str">
        <f>_xlfn.XLOOKUP(C38,'Product Master'!$A$2:$A$23,'Product Master'!$B$2:$B$23)</f>
        <v>Action Figure</v>
      </c>
    </row>
    <row r="39" spans="1:19" ht="16.8" x14ac:dyDescent="0.4">
      <c r="A39" s="1" t="s">
        <v>116</v>
      </c>
      <c r="B39" s="1" t="s">
        <v>95</v>
      </c>
      <c r="C39" s="1" t="s">
        <v>49</v>
      </c>
      <c r="D39" s="1" t="s">
        <v>12</v>
      </c>
      <c r="E39" s="1">
        <v>32</v>
      </c>
      <c r="F39" s="1">
        <v>2</v>
      </c>
      <c r="G39" s="1">
        <v>64</v>
      </c>
      <c r="H39" s="1" t="s">
        <v>31</v>
      </c>
      <c r="I39" s="1" t="s">
        <v>14</v>
      </c>
      <c r="J39" s="1" t="s">
        <v>37</v>
      </c>
      <c r="K39" s="2">
        <v>45160</v>
      </c>
      <c r="L39" s="2"/>
      <c r="M39" s="2">
        <v>45162</v>
      </c>
      <c r="N39" s="1" t="str">
        <f t="shared" si="0"/>
        <v>yes</v>
      </c>
      <c r="O39" s="25" t="str">
        <f>_xlfn.XLOOKUP(Orders!C39,'Product Master'!$A$2:$A$23,'Product Master'!$C$2:$C$23)</f>
        <v>Toys</v>
      </c>
      <c r="P39" s="26" t="str">
        <f t="shared" si="1"/>
        <v>NA</v>
      </c>
      <c r="Q39" s="1" t="str">
        <f>_xlfn.XLOOKUP(B39,'Customer Master'!$A$2:$A$50,'Customer Master'!$B$2:$B$50)</f>
        <v>Lily Bennett</v>
      </c>
      <c r="R39" s="25" t="str" cm="1">
        <f t="array" ref="R39">_xlfn.IFS(P39="NA","NA",P39&lt;=2,"Fast",P39&gt;2,"Slow")</f>
        <v>NA</v>
      </c>
      <c r="S39" s="25" t="str">
        <f>_xlfn.XLOOKUP(C39,'Product Master'!$A$2:$A$23,'Product Master'!$B$2:$B$23)</f>
        <v>Puzzle</v>
      </c>
    </row>
    <row r="40" spans="1:19" ht="16.8" x14ac:dyDescent="0.4">
      <c r="A40" s="1" t="s">
        <v>117</v>
      </c>
      <c r="B40" s="1" t="s">
        <v>118</v>
      </c>
      <c r="C40" s="1" t="s">
        <v>45</v>
      </c>
      <c r="D40" s="1" t="s">
        <v>17</v>
      </c>
      <c r="E40" s="1">
        <v>66</v>
      </c>
      <c r="F40" s="1">
        <v>2</v>
      </c>
      <c r="G40" s="1">
        <v>132</v>
      </c>
      <c r="H40" s="1" t="s">
        <v>13</v>
      </c>
      <c r="I40" s="1" t="s">
        <v>22</v>
      </c>
      <c r="J40" s="1" t="s">
        <v>15</v>
      </c>
      <c r="K40" s="2">
        <v>45262</v>
      </c>
      <c r="L40" s="2"/>
      <c r="M40" s="2"/>
      <c r="N40" s="1" t="str">
        <f t="shared" si="0"/>
        <v>No</v>
      </c>
      <c r="O40" s="25" t="str">
        <f>_xlfn.XLOOKUP(Orders!C40,'Product Master'!$A$2:$A$23,'Product Master'!$C$2:$C$23)</f>
        <v>Fashion</v>
      </c>
      <c r="P40" s="26" t="str">
        <f t="shared" si="1"/>
        <v>NA</v>
      </c>
      <c r="Q40" s="1" t="str">
        <f>_xlfn.XLOOKUP(B40,'Customer Master'!$A$2:$A$50,'Customer Master'!$B$2:$B$50)</f>
        <v>Scarlett Murphy</v>
      </c>
      <c r="R40" s="25" t="str" cm="1">
        <f t="array" ref="R40">_xlfn.IFS(P40="NA","NA",P40&lt;=2,"Fast",P40&gt;2,"Slow")</f>
        <v>NA</v>
      </c>
      <c r="S40" s="25" t="str">
        <f>_xlfn.XLOOKUP(C40,'Product Master'!$A$2:$A$23,'Product Master'!$B$2:$B$23)</f>
        <v>Backpack</v>
      </c>
    </row>
    <row r="41" spans="1:19" ht="16.8" x14ac:dyDescent="0.4">
      <c r="A41" s="1" t="s">
        <v>119</v>
      </c>
      <c r="B41" s="1" t="s">
        <v>120</v>
      </c>
      <c r="C41" s="1" t="s">
        <v>50</v>
      </c>
      <c r="D41" s="1" t="s">
        <v>17</v>
      </c>
      <c r="E41" s="1">
        <v>62</v>
      </c>
      <c r="F41" s="1">
        <v>4</v>
      </c>
      <c r="G41" s="1">
        <v>248</v>
      </c>
      <c r="H41" s="1" t="s">
        <v>31</v>
      </c>
      <c r="I41" s="1" t="s">
        <v>22</v>
      </c>
      <c r="J41" s="1" t="s">
        <v>25</v>
      </c>
      <c r="K41" s="2">
        <v>45285</v>
      </c>
      <c r="L41" s="2"/>
      <c r="M41" s="2"/>
      <c r="N41" s="1" t="str">
        <f t="shared" si="0"/>
        <v>No</v>
      </c>
      <c r="O41" s="25" t="str">
        <f>_xlfn.XLOOKUP(Orders!C41,'Product Master'!$A$2:$A$23,'Product Master'!$C$2:$C$23)</f>
        <v>Toys</v>
      </c>
      <c r="P41" s="26" t="str">
        <f t="shared" si="1"/>
        <v>NA</v>
      </c>
      <c r="Q41" s="1" t="str">
        <f>_xlfn.XLOOKUP(B41,'Customer Master'!$A$2:$A$50,'Customer Master'!$B$2:$B$50)</f>
        <v>Ava Robinson</v>
      </c>
      <c r="R41" s="25" t="str" cm="1">
        <f t="array" ref="R41">_xlfn.IFS(P41="NA","NA",P41&lt;=2,"Fast",P41&gt;2,"Slow")</f>
        <v>NA</v>
      </c>
      <c r="S41" s="25" t="str">
        <f>_xlfn.XLOOKUP(C41,'Product Master'!$A$2:$A$23,'Product Master'!$B$2:$B$23)</f>
        <v>Leg Set</v>
      </c>
    </row>
    <row r="42" spans="1:19" ht="16.8" x14ac:dyDescent="0.4">
      <c r="A42" s="1" t="s">
        <v>121</v>
      </c>
      <c r="B42" s="1" t="s">
        <v>122</v>
      </c>
      <c r="C42" s="1" t="s">
        <v>47</v>
      </c>
      <c r="D42" s="1" t="s">
        <v>33</v>
      </c>
      <c r="E42" s="1">
        <v>173</v>
      </c>
      <c r="F42" s="1">
        <v>4</v>
      </c>
      <c r="G42" s="1">
        <v>692</v>
      </c>
      <c r="H42" s="1" t="s">
        <v>13</v>
      </c>
      <c r="I42" s="1" t="s">
        <v>19</v>
      </c>
      <c r="J42" s="1" t="s">
        <v>25</v>
      </c>
      <c r="K42" s="2">
        <v>45192</v>
      </c>
      <c r="L42" s="2">
        <v>45199</v>
      </c>
      <c r="M42" s="2"/>
      <c r="N42" s="1" t="str">
        <f t="shared" si="0"/>
        <v>No</v>
      </c>
      <c r="O42" s="25" t="str">
        <f>_xlfn.XLOOKUP(Orders!C42,'Product Master'!$A$2:$A$23,'Product Master'!$C$2:$C$23)</f>
        <v>Electronics</v>
      </c>
      <c r="P42" s="26">
        <f t="shared" si="1"/>
        <v>7</v>
      </c>
      <c r="Q42" s="1" t="str">
        <f>_xlfn.XLOOKUP(B42,'Customer Master'!$A$2:$A$50,'Customer Master'!$B$2:$B$50)</f>
        <v>James Miller</v>
      </c>
      <c r="R42" s="25" t="str" cm="1">
        <f t="array" ref="R42">_xlfn.IFS(P42="NA","NA",P42&lt;=2,"Fast",P42&gt;2,"Slow")</f>
        <v>Slow</v>
      </c>
      <c r="S42" s="25" t="str">
        <f>_xlfn.XLOOKUP(C42,'Product Master'!$A$2:$A$23,'Product Master'!$B$2:$B$23)</f>
        <v>Headphones</v>
      </c>
    </row>
    <row r="43" spans="1:19" ht="16.8" x14ac:dyDescent="0.4">
      <c r="A43" s="1" t="s">
        <v>123</v>
      </c>
      <c r="B43" s="1" t="s">
        <v>103</v>
      </c>
      <c r="C43" s="1" t="s">
        <v>50</v>
      </c>
      <c r="D43" s="1" t="s">
        <v>33</v>
      </c>
      <c r="E43" s="1">
        <v>63</v>
      </c>
      <c r="F43" s="1">
        <v>3</v>
      </c>
      <c r="G43" s="1">
        <v>189</v>
      </c>
      <c r="H43" s="1" t="s">
        <v>13</v>
      </c>
      <c r="I43" s="1" t="s">
        <v>19</v>
      </c>
      <c r="J43" s="1" t="s">
        <v>25</v>
      </c>
      <c r="K43" s="2">
        <v>45123</v>
      </c>
      <c r="L43" s="2">
        <v>45125</v>
      </c>
      <c r="M43" s="2"/>
      <c r="N43" s="1" t="str">
        <f t="shared" si="0"/>
        <v>No</v>
      </c>
      <c r="O43" s="25" t="str">
        <f>_xlfn.XLOOKUP(Orders!C43,'Product Master'!$A$2:$A$23,'Product Master'!$C$2:$C$23)</f>
        <v>Toys</v>
      </c>
      <c r="P43" s="26">
        <f t="shared" si="1"/>
        <v>2</v>
      </c>
      <c r="Q43" s="1" t="str">
        <f>_xlfn.XLOOKUP(B43,'Customer Master'!$A$2:$A$50,'Customer Master'!$B$2:$B$50)</f>
        <v>Liam Walker</v>
      </c>
      <c r="R43" s="25" t="str" cm="1">
        <f t="array" ref="R43">_xlfn.IFS(P43="NA","NA",P43&lt;=2,"Fast",P43&gt;2,"Slow")</f>
        <v>Fast</v>
      </c>
      <c r="S43" s="25" t="str">
        <f>_xlfn.XLOOKUP(C43,'Product Master'!$A$2:$A$23,'Product Master'!$B$2:$B$23)</f>
        <v>Leg Set</v>
      </c>
    </row>
    <row r="44" spans="1:19" ht="16.8" x14ac:dyDescent="0.4">
      <c r="A44" s="1" t="s">
        <v>124</v>
      </c>
      <c r="B44" s="1" t="s">
        <v>97</v>
      </c>
      <c r="C44" s="1" t="s">
        <v>32</v>
      </c>
      <c r="D44" s="1" t="s">
        <v>33</v>
      </c>
      <c r="E44" s="1">
        <v>36</v>
      </c>
      <c r="F44" s="1">
        <v>3</v>
      </c>
      <c r="G44" s="1">
        <v>108</v>
      </c>
      <c r="H44" s="1" t="s">
        <v>31</v>
      </c>
      <c r="I44" s="1" t="s">
        <v>14</v>
      </c>
      <c r="J44" s="1" t="s">
        <v>23</v>
      </c>
      <c r="K44" s="2">
        <v>44962</v>
      </c>
      <c r="L44" s="2"/>
      <c r="M44" s="2">
        <v>44968</v>
      </c>
      <c r="N44" s="1" t="str">
        <f t="shared" si="0"/>
        <v>yes</v>
      </c>
      <c r="O44" s="25" t="str">
        <f>_xlfn.XLOOKUP(Orders!C44,'Product Master'!$A$2:$A$23,'Product Master'!$C$2:$C$23)</f>
        <v>Home</v>
      </c>
      <c r="P44" s="26" t="str">
        <f t="shared" si="1"/>
        <v>NA</v>
      </c>
      <c r="Q44" s="1" t="str">
        <f>_xlfn.XLOOKUP(B44,'Customer Master'!$A$2:$A$50,'Customer Master'!$B$2:$B$50)</f>
        <v>Benjamin Clark</v>
      </c>
      <c r="R44" s="25" t="str" cm="1">
        <f t="array" ref="R44">_xlfn.IFS(P44="NA","NA",P44&lt;=2,"Fast",P44&gt;2,"Slow")</f>
        <v>NA</v>
      </c>
      <c r="S44" s="25" t="str">
        <f>_xlfn.XLOOKUP(C44,'Product Master'!$A$2:$A$23,'Product Master'!$B$2:$B$23)</f>
        <v>Wall Clock</v>
      </c>
    </row>
    <row r="45" spans="1:19" ht="16.8" x14ac:dyDescent="0.4">
      <c r="A45" s="1" t="s">
        <v>125</v>
      </c>
      <c r="B45" s="1" t="s">
        <v>120</v>
      </c>
      <c r="C45" s="1" t="s">
        <v>50</v>
      </c>
      <c r="D45" s="1" t="s">
        <v>30</v>
      </c>
      <c r="E45" s="1">
        <v>62</v>
      </c>
      <c r="F45" s="1">
        <v>1</v>
      </c>
      <c r="G45" s="1">
        <v>62</v>
      </c>
      <c r="H45" s="1" t="s">
        <v>13</v>
      </c>
      <c r="I45" s="1" t="s">
        <v>14</v>
      </c>
      <c r="J45" s="1" t="s">
        <v>27</v>
      </c>
      <c r="K45" s="2">
        <v>45278</v>
      </c>
      <c r="L45" s="2"/>
      <c r="M45" s="2">
        <v>45283</v>
      </c>
      <c r="N45" s="1" t="str">
        <f t="shared" si="0"/>
        <v>yes</v>
      </c>
      <c r="O45" s="25" t="str">
        <f>_xlfn.XLOOKUP(Orders!C45,'Product Master'!$A$2:$A$23,'Product Master'!$C$2:$C$23)</f>
        <v>Toys</v>
      </c>
      <c r="P45" s="26" t="str">
        <f t="shared" si="1"/>
        <v>NA</v>
      </c>
      <c r="Q45" s="1" t="str">
        <f>_xlfn.XLOOKUP(B45,'Customer Master'!$A$2:$A$50,'Customer Master'!$B$2:$B$50)</f>
        <v>Ava Robinson</v>
      </c>
      <c r="R45" s="25" t="str" cm="1">
        <f t="array" ref="R45">_xlfn.IFS(P45="NA","NA",P45&lt;=2,"Fast",P45&gt;2,"Slow")</f>
        <v>NA</v>
      </c>
      <c r="S45" s="25" t="str">
        <f>_xlfn.XLOOKUP(C45,'Product Master'!$A$2:$A$23,'Product Master'!$B$2:$B$23)</f>
        <v>Leg Set</v>
      </c>
    </row>
    <row r="46" spans="1:19" ht="16.8" x14ac:dyDescent="0.4">
      <c r="A46" s="1" t="s">
        <v>126</v>
      </c>
      <c r="B46" s="1" t="s">
        <v>66</v>
      </c>
      <c r="C46" s="1" t="s">
        <v>35</v>
      </c>
      <c r="D46" s="1" t="s">
        <v>30</v>
      </c>
      <c r="E46" s="1">
        <v>137</v>
      </c>
      <c r="F46" s="1">
        <v>5</v>
      </c>
      <c r="G46" s="1">
        <v>685</v>
      </c>
      <c r="H46" s="1" t="s">
        <v>28</v>
      </c>
      <c r="I46" s="1" t="s">
        <v>14</v>
      </c>
      <c r="J46" s="1" t="s">
        <v>37</v>
      </c>
      <c r="K46" s="2">
        <v>45088</v>
      </c>
      <c r="L46" s="2"/>
      <c r="M46" s="2">
        <v>45091</v>
      </c>
      <c r="N46" s="1" t="str">
        <f t="shared" si="0"/>
        <v>yes</v>
      </c>
      <c r="O46" s="25" t="str">
        <f>_xlfn.XLOOKUP(Orders!C46,'Product Master'!$A$2:$A$23,'Product Master'!$C$2:$C$23)</f>
        <v>Home</v>
      </c>
      <c r="P46" s="26" t="str">
        <f t="shared" si="1"/>
        <v>NA</v>
      </c>
      <c r="Q46" s="1" t="str">
        <f>_xlfn.XLOOKUP(B46,'Customer Master'!$A$2:$A$50,'Customer Master'!$B$2:$B$50)</f>
        <v>Noah Wilson</v>
      </c>
      <c r="R46" s="25" t="str" cm="1">
        <f t="array" ref="R46">_xlfn.IFS(P46="NA","NA",P46&lt;=2,"Fast",P46&gt;2,"Slow")</f>
        <v>NA</v>
      </c>
      <c r="S46" s="25" t="str">
        <f>_xlfn.XLOOKUP(C46,'Product Master'!$A$2:$A$23,'Product Master'!$B$2:$B$23)</f>
        <v>Cookware Set</v>
      </c>
    </row>
    <row r="47" spans="1:19" ht="16.8" x14ac:dyDescent="0.4">
      <c r="A47" s="1" t="s">
        <v>127</v>
      </c>
      <c r="B47" s="1" t="s">
        <v>128</v>
      </c>
      <c r="C47" s="1" t="s">
        <v>39</v>
      </c>
      <c r="D47" s="1" t="s">
        <v>12</v>
      </c>
      <c r="E47" s="1">
        <v>73</v>
      </c>
      <c r="F47" s="1">
        <v>4</v>
      </c>
      <c r="G47" s="1">
        <v>292</v>
      </c>
      <c r="H47" s="1" t="s">
        <v>18</v>
      </c>
      <c r="I47" s="1" t="s">
        <v>19</v>
      </c>
      <c r="J47" s="1" t="s">
        <v>27</v>
      </c>
      <c r="K47" s="2">
        <v>45264</v>
      </c>
      <c r="L47" s="2">
        <v>45268</v>
      </c>
      <c r="M47" s="2"/>
      <c r="N47" s="1" t="str">
        <f t="shared" si="0"/>
        <v>No</v>
      </c>
      <c r="O47" s="25" t="str">
        <f>_xlfn.XLOOKUP(Orders!C47,'Product Master'!$A$2:$A$23,'Product Master'!$C$2:$C$23)</f>
        <v>Electronics</v>
      </c>
      <c r="P47" s="26">
        <f t="shared" si="1"/>
        <v>4</v>
      </c>
      <c r="Q47" s="1" t="str">
        <f>_xlfn.XLOOKUP(B47,'Customer Master'!$A$2:$A$50,'Customer Master'!$B$2:$B$50)</f>
        <v>Logan Ramirez</v>
      </c>
      <c r="R47" s="25" t="str" cm="1">
        <f t="array" ref="R47">_xlfn.IFS(P47="NA","NA",P47&lt;=2,"Fast",P47&gt;2,"Slow")</f>
        <v>Slow</v>
      </c>
      <c r="S47" s="25" t="str">
        <f>_xlfn.XLOOKUP(C47,'Product Master'!$A$2:$A$23,'Product Master'!$B$2:$B$23)</f>
        <v>Gaming Mouse</v>
      </c>
    </row>
    <row r="48" spans="1:19" ht="16.8" x14ac:dyDescent="0.4">
      <c r="A48" s="1" t="s">
        <v>129</v>
      </c>
      <c r="B48" s="1" t="s">
        <v>87</v>
      </c>
      <c r="C48" s="1" t="s">
        <v>29</v>
      </c>
      <c r="D48" s="1" t="s">
        <v>12</v>
      </c>
      <c r="E48" s="1">
        <v>104</v>
      </c>
      <c r="F48" s="1">
        <v>1</v>
      </c>
      <c r="G48" s="1">
        <v>104</v>
      </c>
      <c r="H48" s="1" t="s">
        <v>24</v>
      </c>
      <c r="I48" s="1" t="s">
        <v>19</v>
      </c>
      <c r="J48" s="1" t="s">
        <v>27</v>
      </c>
      <c r="K48" s="2">
        <v>45124</v>
      </c>
      <c r="L48" s="2">
        <v>45126</v>
      </c>
      <c r="M48" s="2"/>
      <c r="N48" s="1" t="str">
        <f t="shared" si="0"/>
        <v>No</v>
      </c>
      <c r="O48" s="25" t="str">
        <f>_xlfn.XLOOKUP(Orders!C48,'Product Master'!$A$2:$A$23,'Product Master'!$C$2:$C$23)</f>
        <v>Electronics</v>
      </c>
      <c r="P48" s="26">
        <f t="shared" si="1"/>
        <v>2</v>
      </c>
      <c r="Q48" s="1" t="str">
        <f>_xlfn.XLOOKUP(B48,'Customer Master'!$A$2:$A$50,'Customer Master'!$B$2:$B$50)</f>
        <v>Jacob Price</v>
      </c>
      <c r="R48" s="25" t="str" cm="1">
        <f t="array" ref="R48">_xlfn.IFS(P48="NA","NA",P48&lt;=2,"Fast",P48&gt;2,"Slow")</f>
        <v>Fast</v>
      </c>
      <c r="S48" s="25" t="str">
        <f>_xlfn.XLOOKUP(C48,'Product Master'!$A$2:$A$23,'Product Master'!$B$2:$B$23)</f>
        <v>Bluetooth Speaker</v>
      </c>
    </row>
    <row r="49" spans="1:19" ht="16.8" x14ac:dyDescent="0.4">
      <c r="A49" s="1" t="s">
        <v>130</v>
      </c>
      <c r="B49" s="1" t="s">
        <v>60</v>
      </c>
      <c r="C49" s="1" t="s">
        <v>38</v>
      </c>
      <c r="D49" s="1" t="s">
        <v>17</v>
      </c>
      <c r="E49" s="1">
        <v>97</v>
      </c>
      <c r="F49" s="1">
        <v>1</v>
      </c>
      <c r="G49" s="1">
        <v>97</v>
      </c>
      <c r="H49" s="1" t="s">
        <v>28</v>
      </c>
      <c r="I49" s="1" t="s">
        <v>19</v>
      </c>
      <c r="J49" s="1" t="s">
        <v>37</v>
      </c>
      <c r="K49" s="2">
        <v>45218</v>
      </c>
      <c r="L49" s="2">
        <v>45223</v>
      </c>
      <c r="M49" s="2"/>
      <c r="N49" s="1" t="str">
        <f t="shared" si="0"/>
        <v>No</v>
      </c>
      <c r="O49" s="25" t="str">
        <f>_xlfn.XLOOKUP(Orders!C49,'Product Master'!$A$2:$A$23,'Product Master'!$C$2:$C$23)</f>
        <v>Fashion</v>
      </c>
      <c r="P49" s="26">
        <f t="shared" si="1"/>
        <v>5</v>
      </c>
      <c r="Q49" s="1" t="str">
        <f>_xlfn.XLOOKUP(B49,'Customer Master'!$A$2:$A$50,'Customer Master'!$B$2:$B$50)</f>
        <v>Grace Ward</v>
      </c>
      <c r="R49" s="25" t="str" cm="1">
        <f t="array" ref="R49">_xlfn.IFS(P49="NA","NA",P49&lt;=2,"Fast",P49&gt;2,"Slow")</f>
        <v>Slow</v>
      </c>
      <c r="S49" s="25" t="str">
        <f>_xlfn.XLOOKUP(C49,'Product Master'!$A$2:$A$23,'Product Master'!$B$2:$B$23)</f>
        <v>Shoes</v>
      </c>
    </row>
    <row r="50" spans="1:19" ht="16.8" x14ac:dyDescent="0.4">
      <c r="A50" s="1" t="s">
        <v>131</v>
      </c>
      <c r="B50" s="1" t="s">
        <v>132</v>
      </c>
      <c r="C50" s="1" t="s">
        <v>39</v>
      </c>
      <c r="D50" s="1" t="s">
        <v>21</v>
      </c>
      <c r="E50" s="1">
        <v>73</v>
      </c>
      <c r="F50" s="1">
        <v>5</v>
      </c>
      <c r="G50" s="1">
        <v>365</v>
      </c>
      <c r="H50" s="1" t="s">
        <v>13</v>
      </c>
      <c r="I50" s="1" t="s">
        <v>22</v>
      </c>
      <c r="J50" s="1" t="s">
        <v>27</v>
      </c>
      <c r="K50" s="2">
        <v>45061</v>
      </c>
      <c r="L50" s="2"/>
      <c r="M50" s="2"/>
      <c r="N50" s="1" t="str">
        <f t="shared" si="0"/>
        <v>No</v>
      </c>
      <c r="O50" s="25" t="str">
        <f>_xlfn.XLOOKUP(Orders!C50,'Product Master'!$A$2:$A$23,'Product Master'!$C$2:$C$23)</f>
        <v>Electronics</v>
      </c>
      <c r="P50" s="26" t="str">
        <f t="shared" si="1"/>
        <v>NA</v>
      </c>
      <c r="Q50" s="1" t="str">
        <f>_xlfn.XLOOKUP(B50,'Customer Master'!$A$2:$A$50,'Customer Master'!$B$2:$B$50)</f>
        <v>Zoe Mitchell</v>
      </c>
      <c r="R50" s="25" t="str" cm="1">
        <f t="array" ref="R50">_xlfn.IFS(P50="NA","NA",P50&lt;=2,"Fast",P50&gt;2,"Slow")</f>
        <v>NA</v>
      </c>
      <c r="S50" s="25" t="str">
        <f>_xlfn.XLOOKUP(C50,'Product Master'!$A$2:$A$23,'Product Master'!$B$2:$B$23)</f>
        <v>Gaming Mouse</v>
      </c>
    </row>
    <row r="51" spans="1:19" ht="16.8" x14ac:dyDescent="0.4">
      <c r="A51" s="1" t="s">
        <v>133</v>
      </c>
      <c r="B51" s="1" t="s">
        <v>97</v>
      </c>
      <c r="C51" s="1" t="s">
        <v>40</v>
      </c>
      <c r="D51" s="1" t="s">
        <v>17</v>
      </c>
      <c r="E51" s="1">
        <v>27</v>
      </c>
      <c r="F51" s="1">
        <v>3</v>
      </c>
      <c r="G51" s="1">
        <v>81</v>
      </c>
      <c r="H51" s="1" t="s">
        <v>28</v>
      </c>
      <c r="I51" s="1" t="s">
        <v>19</v>
      </c>
      <c r="J51" s="1" t="s">
        <v>25</v>
      </c>
      <c r="K51" s="2">
        <v>44969</v>
      </c>
      <c r="L51" s="2">
        <v>44976</v>
      </c>
      <c r="M51" s="2"/>
      <c r="N51" s="1" t="str">
        <f t="shared" si="0"/>
        <v>No</v>
      </c>
      <c r="O51" s="25" t="str">
        <f>_xlfn.XLOOKUP(Orders!C51,'Product Master'!$A$2:$A$23,'Product Master'!$C$2:$C$23)</f>
        <v>Fashion</v>
      </c>
      <c r="P51" s="26">
        <f t="shared" si="1"/>
        <v>7</v>
      </c>
      <c r="Q51" s="1" t="str">
        <f>_xlfn.XLOOKUP(B51,'Customer Master'!$A$2:$A$50,'Customer Master'!$B$2:$B$50)</f>
        <v>Benjamin Clark</v>
      </c>
      <c r="R51" s="25" t="str" cm="1">
        <f t="array" ref="R51">_xlfn.IFS(P51="NA","NA",P51&lt;=2,"Fast",P51&gt;2,"Slow")</f>
        <v>Slow</v>
      </c>
      <c r="S51" s="25" t="str">
        <f>_xlfn.XLOOKUP(C51,'Product Master'!$A$2:$A$23,'Product Master'!$B$2:$B$23)</f>
        <v>T-Shirt</v>
      </c>
    </row>
    <row r="52" spans="1:19" ht="16.8" x14ac:dyDescent="0.4">
      <c r="A52" s="1" t="s">
        <v>134</v>
      </c>
      <c r="B52" s="1" t="s">
        <v>87</v>
      </c>
      <c r="C52" s="1" t="s">
        <v>32</v>
      </c>
      <c r="D52" s="1" t="s">
        <v>12</v>
      </c>
      <c r="E52" s="1">
        <v>37</v>
      </c>
      <c r="F52" s="1">
        <v>1</v>
      </c>
      <c r="G52" s="1">
        <v>37</v>
      </c>
      <c r="H52" s="1" t="s">
        <v>13</v>
      </c>
      <c r="I52" s="1" t="s">
        <v>22</v>
      </c>
      <c r="J52" s="1" t="s">
        <v>25</v>
      </c>
      <c r="K52" s="2">
        <v>45201</v>
      </c>
      <c r="L52" s="2"/>
      <c r="M52" s="2"/>
      <c r="N52" s="1" t="str">
        <f t="shared" si="0"/>
        <v>No</v>
      </c>
      <c r="O52" s="25" t="str">
        <f>_xlfn.XLOOKUP(Orders!C52,'Product Master'!$A$2:$A$23,'Product Master'!$C$2:$C$23)</f>
        <v>Home</v>
      </c>
      <c r="P52" s="26" t="str">
        <f t="shared" si="1"/>
        <v>NA</v>
      </c>
      <c r="Q52" s="1" t="str">
        <f>_xlfn.XLOOKUP(B52,'Customer Master'!$A$2:$A$50,'Customer Master'!$B$2:$B$50)</f>
        <v>Jacob Price</v>
      </c>
      <c r="R52" s="25" t="str" cm="1">
        <f t="array" ref="R52">_xlfn.IFS(P52="NA","NA",P52&lt;=2,"Fast",P52&gt;2,"Slow")</f>
        <v>NA</v>
      </c>
      <c r="S52" s="25" t="str">
        <f>_xlfn.XLOOKUP(C52,'Product Master'!$A$2:$A$23,'Product Master'!$B$2:$B$23)</f>
        <v>Wall Clock</v>
      </c>
    </row>
    <row r="53" spans="1:19" ht="16.8" x14ac:dyDescent="0.4">
      <c r="A53" s="1" t="s">
        <v>135</v>
      </c>
      <c r="B53" s="1" t="s">
        <v>105</v>
      </c>
      <c r="C53" s="1" t="s">
        <v>41</v>
      </c>
      <c r="D53" s="1" t="s">
        <v>12</v>
      </c>
      <c r="E53" s="1">
        <v>22</v>
      </c>
      <c r="F53" s="1">
        <v>1</v>
      </c>
      <c r="G53" s="1">
        <v>22</v>
      </c>
      <c r="H53" s="1" t="s">
        <v>31</v>
      </c>
      <c r="I53" s="1" t="s">
        <v>19</v>
      </c>
      <c r="J53" s="1" t="s">
        <v>37</v>
      </c>
      <c r="K53" s="2">
        <v>44956</v>
      </c>
      <c r="L53" s="2">
        <v>44958</v>
      </c>
      <c r="M53" s="2"/>
      <c r="N53" s="1" t="str">
        <f t="shared" si="0"/>
        <v>No</v>
      </c>
      <c r="O53" s="25" t="str">
        <f>_xlfn.XLOOKUP(Orders!C53,'Product Master'!$A$2:$A$23,'Product Master'!$C$2:$C$23)</f>
        <v>Books</v>
      </c>
      <c r="P53" s="26">
        <f t="shared" si="1"/>
        <v>2</v>
      </c>
      <c r="Q53" s="1" t="str">
        <f>_xlfn.XLOOKUP(B53,'Customer Master'!$A$2:$A$50,'Customer Master'!$B$2:$B$50)</f>
        <v>Harper Young</v>
      </c>
      <c r="R53" s="25" t="str" cm="1">
        <f t="array" ref="R53">_xlfn.IFS(P53="NA","NA",P53&lt;=2,"Fast",P53&gt;2,"Slow")</f>
        <v>Fast</v>
      </c>
      <c r="S53" s="25" t="str">
        <f>_xlfn.XLOOKUP(C53,'Product Master'!$A$2:$A$23,'Product Master'!$B$2:$B$23)</f>
        <v>Novel</v>
      </c>
    </row>
    <row r="54" spans="1:19" ht="16.8" x14ac:dyDescent="0.4">
      <c r="A54" s="1" t="s">
        <v>136</v>
      </c>
      <c r="B54" s="1" t="s">
        <v>85</v>
      </c>
      <c r="C54" s="1" t="s">
        <v>48</v>
      </c>
      <c r="D54" s="1" t="s">
        <v>30</v>
      </c>
      <c r="E54" s="1">
        <v>218</v>
      </c>
      <c r="F54" s="1">
        <v>5</v>
      </c>
      <c r="G54" s="1">
        <v>1090</v>
      </c>
      <c r="H54" s="1" t="s">
        <v>24</v>
      </c>
      <c r="I54" s="1" t="s">
        <v>19</v>
      </c>
      <c r="J54" s="1" t="s">
        <v>15</v>
      </c>
      <c r="K54" s="2">
        <v>45289</v>
      </c>
      <c r="L54" s="2">
        <v>45292</v>
      </c>
      <c r="M54" s="2"/>
      <c r="N54" s="1" t="str">
        <f t="shared" si="0"/>
        <v>No</v>
      </c>
      <c r="O54" s="25" t="str">
        <f>_xlfn.XLOOKUP(Orders!C54,'Product Master'!$A$2:$A$23,'Product Master'!$C$2:$C$23)</f>
        <v>Home</v>
      </c>
      <c r="P54" s="26">
        <f t="shared" si="1"/>
        <v>3</v>
      </c>
      <c r="Q54" s="1" t="str">
        <f>_xlfn.XLOOKUP(B54,'Customer Master'!$A$2:$A$50,'Customer Master'!$B$2:$B$50)</f>
        <v>Mason Hall</v>
      </c>
      <c r="R54" s="25" t="str" cm="1">
        <f t="array" ref="R54">_xlfn.IFS(P54="NA","NA",P54&lt;=2,"Fast",P54&gt;2,"Slow")</f>
        <v>Slow</v>
      </c>
      <c r="S54" s="25" t="str">
        <f>_xlfn.XLOOKUP(C54,'Product Master'!$A$2:$A$23,'Product Master'!$B$2:$B$23)</f>
        <v>Cookware Set Pro</v>
      </c>
    </row>
    <row r="55" spans="1:19" ht="16.8" x14ac:dyDescent="0.4">
      <c r="A55" s="1" t="s">
        <v>137</v>
      </c>
      <c r="B55" s="1" t="s">
        <v>100</v>
      </c>
      <c r="C55" s="1" t="s">
        <v>50</v>
      </c>
      <c r="D55" s="1" t="s">
        <v>12</v>
      </c>
      <c r="E55" s="1">
        <v>64</v>
      </c>
      <c r="F55" s="1">
        <v>1</v>
      </c>
      <c r="G55" s="1">
        <v>64</v>
      </c>
      <c r="H55" s="1" t="s">
        <v>13</v>
      </c>
      <c r="I55" s="1" t="s">
        <v>14</v>
      </c>
      <c r="J55" s="1" t="s">
        <v>23</v>
      </c>
      <c r="K55" s="2">
        <v>44991</v>
      </c>
      <c r="L55" s="2"/>
      <c r="M55" s="2">
        <v>44998</v>
      </c>
      <c r="N55" s="1" t="str">
        <f t="shared" si="0"/>
        <v>yes</v>
      </c>
      <c r="O55" s="25" t="str">
        <f>_xlfn.XLOOKUP(Orders!C55,'Product Master'!$A$2:$A$23,'Product Master'!$C$2:$C$23)</f>
        <v>Toys</v>
      </c>
      <c r="P55" s="26" t="str">
        <f t="shared" si="1"/>
        <v>NA</v>
      </c>
      <c r="Q55" s="1" t="str">
        <f>_xlfn.XLOOKUP(B55,'Customer Master'!$A$2:$A$50,'Customer Master'!$B$2:$B$50)</f>
        <v>Grace Scott</v>
      </c>
      <c r="R55" s="25" t="str" cm="1">
        <f t="array" ref="R55">_xlfn.IFS(P55="NA","NA",P55&lt;=2,"Fast",P55&gt;2,"Slow")</f>
        <v>NA</v>
      </c>
      <c r="S55" s="25" t="str">
        <f>_xlfn.XLOOKUP(C55,'Product Master'!$A$2:$A$23,'Product Master'!$B$2:$B$23)</f>
        <v>Leg Set</v>
      </c>
    </row>
    <row r="56" spans="1:19" ht="16.8" x14ac:dyDescent="0.4">
      <c r="A56" s="1" t="s">
        <v>138</v>
      </c>
      <c r="B56" s="1" t="s">
        <v>109</v>
      </c>
      <c r="C56" s="1" t="s">
        <v>32</v>
      </c>
      <c r="D56" s="1" t="s">
        <v>30</v>
      </c>
      <c r="E56" s="1">
        <v>36</v>
      </c>
      <c r="F56" s="1">
        <v>4</v>
      </c>
      <c r="G56" s="1">
        <v>144</v>
      </c>
      <c r="H56" s="1" t="s">
        <v>24</v>
      </c>
      <c r="I56" s="1" t="s">
        <v>19</v>
      </c>
      <c r="J56" s="1" t="s">
        <v>27</v>
      </c>
      <c r="K56" s="2">
        <v>44959</v>
      </c>
      <c r="L56" s="2">
        <v>44963</v>
      </c>
      <c r="M56" s="2"/>
      <c r="N56" s="1" t="str">
        <f t="shared" si="0"/>
        <v>No</v>
      </c>
      <c r="O56" s="25" t="str">
        <f>_xlfn.XLOOKUP(Orders!C56,'Product Master'!$A$2:$A$23,'Product Master'!$C$2:$C$23)</f>
        <v>Home</v>
      </c>
      <c r="P56" s="26">
        <f t="shared" si="1"/>
        <v>4</v>
      </c>
      <c r="Q56" s="1" t="str">
        <f>_xlfn.XLOOKUP(B56,'Customer Master'!$A$2:$A$50,'Customer Master'!$B$2:$B$50)</f>
        <v>Emily Johnson</v>
      </c>
      <c r="R56" s="25" t="str" cm="1">
        <f t="array" ref="R56">_xlfn.IFS(P56="NA","NA",P56&lt;=2,"Fast",P56&gt;2,"Slow")</f>
        <v>Slow</v>
      </c>
      <c r="S56" s="25" t="str">
        <f>_xlfn.XLOOKUP(C56,'Product Master'!$A$2:$A$23,'Product Master'!$B$2:$B$23)</f>
        <v>Wall Clock</v>
      </c>
    </row>
    <row r="57" spans="1:19" ht="16.8" x14ac:dyDescent="0.4">
      <c r="A57" s="1" t="s">
        <v>139</v>
      </c>
      <c r="B57" s="1" t="s">
        <v>140</v>
      </c>
      <c r="C57" s="1" t="s">
        <v>50</v>
      </c>
      <c r="D57" s="1" t="s">
        <v>33</v>
      </c>
      <c r="E57" s="1">
        <v>65</v>
      </c>
      <c r="F57" s="1">
        <v>1</v>
      </c>
      <c r="G57" s="1">
        <v>65</v>
      </c>
      <c r="H57" s="1" t="s">
        <v>28</v>
      </c>
      <c r="I57" s="1" t="s">
        <v>19</v>
      </c>
      <c r="J57" s="1" t="s">
        <v>37</v>
      </c>
      <c r="K57" s="2">
        <v>45217</v>
      </c>
      <c r="L57" s="2">
        <v>45220</v>
      </c>
      <c r="M57" s="2"/>
      <c r="N57" s="1" t="str">
        <f t="shared" si="0"/>
        <v>No</v>
      </c>
      <c r="O57" s="25" t="str">
        <f>_xlfn.XLOOKUP(Orders!C57,'Product Master'!$A$2:$A$23,'Product Master'!$C$2:$C$23)</f>
        <v>Toys</v>
      </c>
      <c r="P57" s="26">
        <f t="shared" si="1"/>
        <v>3</v>
      </c>
      <c r="Q57" s="1" t="str">
        <f>_xlfn.XLOOKUP(B57,'Customer Master'!$A$2:$A$50,'Customer Master'!$B$2:$B$50)</f>
        <v>Emma King</v>
      </c>
      <c r="R57" s="25" t="str" cm="1">
        <f t="array" ref="R57">_xlfn.IFS(P57="NA","NA",P57&lt;=2,"Fast",P57&gt;2,"Slow")</f>
        <v>Slow</v>
      </c>
      <c r="S57" s="25" t="str">
        <f>_xlfn.XLOOKUP(C57,'Product Master'!$A$2:$A$23,'Product Master'!$B$2:$B$23)</f>
        <v>Leg Set</v>
      </c>
    </row>
    <row r="58" spans="1:19" ht="16.8" x14ac:dyDescent="0.4">
      <c r="A58" s="1" t="s">
        <v>141</v>
      </c>
      <c r="B58" s="1" t="s">
        <v>89</v>
      </c>
      <c r="C58" s="1" t="s">
        <v>40</v>
      </c>
      <c r="D58" s="1" t="s">
        <v>30</v>
      </c>
      <c r="E58" s="1">
        <v>26</v>
      </c>
      <c r="F58" s="1">
        <v>1</v>
      </c>
      <c r="G58" s="1">
        <v>26</v>
      </c>
      <c r="H58" s="1" t="s">
        <v>13</v>
      </c>
      <c r="I58" s="1" t="s">
        <v>19</v>
      </c>
      <c r="J58" s="1" t="s">
        <v>15</v>
      </c>
      <c r="K58" s="2">
        <v>44933</v>
      </c>
      <c r="L58" s="2">
        <v>44935</v>
      </c>
      <c r="M58" s="2"/>
      <c r="N58" s="1" t="str">
        <f t="shared" si="0"/>
        <v>No</v>
      </c>
      <c r="O58" s="25" t="str">
        <f>_xlfn.XLOOKUP(Orders!C58,'Product Master'!$A$2:$A$23,'Product Master'!$C$2:$C$23)</f>
        <v>Fashion</v>
      </c>
      <c r="P58" s="26">
        <f t="shared" si="1"/>
        <v>2</v>
      </c>
      <c r="Q58" s="1" t="str">
        <f>_xlfn.XLOOKUP(B58,'Customer Master'!$A$2:$A$50,'Customer Master'!$B$2:$B$50)</f>
        <v>Emma King</v>
      </c>
      <c r="R58" s="25" t="str" cm="1">
        <f t="array" ref="R58">_xlfn.IFS(P58="NA","NA",P58&lt;=2,"Fast",P58&gt;2,"Slow")</f>
        <v>Fast</v>
      </c>
      <c r="S58" s="25" t="str">
        <f>_xlfn.XLOOKUP(C58,'Product Master'!$A$2:$A$23,'Product Master'!$B$2:$B$23)</f>
        <v>T-Shirt</v>
      </c>
    </row>
    <row r="59" spans="1:19" ht="16.8" x14ac:dyDescent="0.4">
      <c r="A59" s="1" t="s">
        <v>142</v>
      </c>
      <c r="B59" s="1" t="s">
        <v>55</v>
      </c>
      <c r="C59" s="1" t="s">
        <v>46</v>
      </c>
      <c r="D59" s="1" t="s">
        <v>12</v>
      </c>
      <c r="E59" s="1">
        <v>11</v>
      </c>
      <c r="F59" s="1">
        <v>5</v>
      </c>
      <c r="G59" s="1">
        <v>55</v>
      </c>
      <c r="H59" s="1" t="s">
        <v>18</v>
      </c>
      <c r="I59" s="1" t="s">
        <v>22</v>
      </c>
      <c r="J59" s="1" t="s">
        <v>37</v>
      </c>
      <c r="K59" s="2">
        <v>45054</v>
      </c>
      <c r="L59" s="2"/>
      <c r="M59" s="2"/>
      <c r="N59" s="1" t="str">
        <f t="shared" si="0"/>
        <v>No</v>
      </c>
      <c r="O59" s="25" t="str">
        <f>_xlfn.XLOOKUP(Orders!C59,'Product Master'!$A$2:$A$23,'Product Master'!$C$2:$C$23)</f>
        <v>Books</v>
      </c>
      <c r="P59" s="26" t="str">
        <f t="shared" si="1"/>
        <v>NA</v>
      </c>
      <c r="Q59" s="1" t="str">
        <f>_xlfn.XLOOKUP(B59,'Customer Master'!$A$2:$A$50,'Customer Master'!$B$2:$B$50)</f>
        <v>Zoe Mitchell</v>
      </c>
      <c r="R59" s="25" t="str" cm="1">
        <f t="array" ref="R59">_xlfn.IFS(P59="NA","NA",P59&lt;=2,"Fast",P59&gt;2,"Slow")</f>
        <v>NA</v>
      </c>
      <c r="S59" s="25" t="str">
        <f>_xlfn.XLOOKUP(C59,'Product Master'!$A$2:$A$23,'Product Master'!$B$2:$B$23)</f>
        <v>Magazine</v>
      </c>
    </row>
    <row r="60" spans="1:19" ht="16.8" x14ac:dyDescent="0.4">
      <c r="A60" s="1" t="s">
        <v>143</v>
      </c>
      <c r="B60" s="1" t="s">
        <v>144</v>
      </c>
      <c r="C60" s="1" t="s">
        <v>20</v>
      </c>
      <c r="D60" s="1" t="s">
        <v>12</v>
      </c>
      <c r="E60" s="1">
        <v>195</v>
      </c>
      <c r="F60" s="1">
        <v>4</v>
      </c>
      <c r="G60" s="1">
        <v>780</v>
      </c>
      <c r="H60" s="1" t="s">
        <v>24</v>
      </c>
      <c r="I60" s="1" t="s">
        <v>14</v>
      </c>
      <c r="J60" s="1" t="s">
        <v>37</v>
      </c>
      <c r="K60" s="2">
        <v>45018</v>
      </c>
      <c r="L60" s="2"/>
      <c r="M60" s="2">
        <v>45021</v>
      </c>
      <c r="N60" s="1" t="str">
        <f t="shared" si="0"/>
        <v>yes</v>
      </c>
      <c r="O60" s="25" t="str">
        <f>_xlfn.XLOOKUP(Orders!C60,'Product Master'!$A$2:$A$23,'Product Master'!$C$2:$C$23)</f>
        <v>Home</v>
      </c>
      <c r="P60" s="26" t="str">
        <f t="shared" si="1"/>
        <v>NA</v>
      </c>
      <c r="Q60" s="1" t="str">
        <f>_xlfn.XLOOKUP(B60,'Customer Master'!$A$2:$A$50,'Customer Master'!$B$2:$B$50)</f>
        <v>Ethan Davis</v>
      </c>
      <c r="R60" s="25" t="str" cm="1">
        <f t="array" ref="R60">_xlfn.IFS(P60="NA","NA",P60&lt;=2,"Fast",P60&gt;2,"Slow")</f>
        <v>NA</v>
      </c>
      <c r="S60" s="25" t="str">
        <f>_xlfn.XLOOKUP(C60,'Product Master'!$A$2:$A$23,'Product Master'!$B$2:$B$23)</f>
        <v>Vacuum Cleaner</v>
      </c>
    </row>
    <row r="61" spans="1:19" ht="16.8" x14ac:dyDescent="0.4">
      <c r="A61" s="1" t="s">
        <v>145</v>
      </c>
      <c r="B61" s="1" t="s">
        <v>68</v>
      </c>
      <c r="C61" s="1" t="s">
        <v>34</v>
      </c>
      <c r="D61" s="1" t="s">
        <v>33</v>
      </c>
      <c r="E61" s="1">
        <v>44</v>
      </c>
      <c r="F61" s="1">
        <v>5</v>
      </c>
      <c r="G61" s="1">
        <v>220</v>
      </c>
      <c r="H61" s="1" t="s">
        <v>13</v>
      </c>
      <c r="I61" s="1" t="s">
        <v>14</v>
      </c>
      <c r="J61" s="1" t="s">
        <v>23</v>
      </c>
      <c r="K61" s="2">
        <v>45210</v>
      </c>
      <c r="L61" s="2"/>
      <c r="M61" s="2">
        <v>45211</v>
      </c>
      <c r="N61" s="1" t="str">
        <f t="shared" si="0"/>
        <v>yes</v>
      </c>
      <c r="O61" s="25" t="str">
        <f>_xlfn.XLOOKUP(Orders!C61,'Product Master'!$A$2:$A$23,'Product Master'!$C$2:$C$23)</f>
        <v>Fashion</v>
      </c>
      <c r="P61" s="26" t="str">
        <f t="shared" si="1"/>
        <v>NA</v>
      </c>
      <c r="Q61" s="1" t="str">
        <f>_xlfn.XLOOKUP(B61,'Customer Master'!$A$2:$A$50,'Customer Master'!$B$2:$B$50)</f>
        <v>Ava Robinson</v>
      </c>
      <c r="R61" s="25" t="str" cm="1">
        <f t="array" ref="R61">_xlfn.IFS(P61="NA","NA",P61&lt;=2,"Fast",P61&gt;2,"Slow")</f>
        <v>NA</v>
      </c>
      <c r="S61" s="25" t="str">
        <f>_xlfn.XLOOKUP(C61,'Product Master'!$A$2:$A$23,'Product Master'!$B$2:$B$23)</f>
        <v>Formal Shirt</v>
      </c>
    </row>
    <row r="62" spans="1:19" ht="16.8" x14ac:dyDescent="0.4">
      <c r="A62" s="1" t="s">
        <v>146</v>
      </c>
      <c r="B62" s="1" t="s">
        <v>147</v>
      </c>
      <c r="C62" s="1" t="s">
        <v>42</v>
      </c>
      <c r="D62" s="1" t="s">
        <v>17</v>
      </c>
      <c r="E62" s="1">
        <v>69</v>
      </c>
      <c r="F62" s="1">
        <v>4</v>
      </c>
      <c r="G62" s="1">
        <v>276</v>
      </c>
      <c r="H62" s="1" t="s">
        <v>31</v>
      </c>
      <c r="I62" s="1" t="s">
        <v>22</v>
      </c>
      <c r="J62" s="1" t="s">
        <v>15</v>
      </c>
      <c r="K62" s="2">
        <v>45179</v>
      </c>
      <c r="L62" s="2"/>
      <c r="M62" s="2"/>
      <c r="N62" s="1" t="str">
        <f t="shared" si="0"/>
        <v>No</v>
      </c>
      <c r="O62" s="25" t="str">
        <f>_xlfn.XLOOKUP(Orders!C62,'Product Master'!$A$2:$A$23,'Product Master'!$C$2:$C$23)</f>
        <v>Books</v>
      </c>
      <c r="P62" s="26" t="str">
        <f t="shared" si="1"/>
        <v>NA</v>
      </c>
      <c r="Q62" s="1" t="str">
        <f>_xlfn.XLOOKUP(B62,'Customer Master'!$A$2:$A$50,'Customer Master'!$B$2:$B$50)</f>
        <v>Scarlett Adams</v>
      </c>
      <c r="R62" s="25" t="str" cm="1">
        <f t="array" ref="R62">_xlfn.IFS(P62="NA","NA",P62&lt;=2,"Fast",P62&gt;2,"Slow")</f>
        <v>NA</v>
      </c>
      <c r="S62" s="25" t="str">
        <f>_xlfn.XLOOKUP(C62,'Product Master'!$A$2:$A$23,'Product Master'!$B$2:$B$23)</f>
        <v>Textbook</v>
      </c>
    </row>
    <row r="63" spans="1:19" ht="16.8" x14ac:dyDescent="0.4">
      <c r="A63" s="1" t="s">
        <v>148</v>
      </c>
      <c r="B63" s="1" t="s">
        <v>149</v>
      </c>
      <c r="C63" s="1" t="s">
        <v>43</v>
      </c>
      <c r="D63" s="1" t="s">
        <v>12</v>
      </c>
      <c r="E63" s="1">
        <v>815</v>
      </c>
      <c r="F63" s="1">
        <v>4</v>
      </c>
      <c r="G63" s="1">
        <v>3260</v>
      </c>
      <c r="H63" s="1" t="s">
        <v>18</v>
      </c>
      <c r="I63" s="1" t="s">
        <v>19</v>
      </c>
      <c r="J63" s="1" t="s">
        <v>23</v>
      </c>
      <c r="K63" s="2">
        <v>45252</v>
      </c>
      <c r="L63" s="2">
        <v>45259</v>
      </c>
      <c r="M63" s="2"/>
      <c r="N63" s="1" t="str">
        <f t="shared" si="0"/>
        <v>No</v>
      </c>
      <c r="O63" s="25" t="str">
        <f>_xlfn.XLOOKUP(Orders!C63,'Product Master'!$A$2:$A$23,'Product Master'!$C$2:$C$23)</f>
        <v>Electronics</v>
      </c>
      <c r="P63" s="26">
        <f t="shared" si="1"/>
        <v>7</v>
      </c>
      <c r="Q63" s="1" t="str">
        <f>_xlfn.XLOOKUP(B63,'Customer Master'!$A$2:$A$50,'Customer Master'!$B$2:$B$50)</f>
        <v>Elijah Lewis</v>
      </c>
      <c r="R63" s="25" t="str" cm="1">
        <f t="array" ref="R63">_xlfn.IFS(P63="NA","NA",P63&lt;=2,"Fast",P63&gt;2,"Slow")</f>
        <v>Slow</v>
      </c>
      <c r="S63" s="25" t="str">
        <f>_xlfn.XLOOKUP(C63,'Product Master'!$A$2:$A$23,'Product Master'!$B$2:$B$23)</f>
        <v>Smartphone</v>
      </c>
    </row>
    <row r="64" spans="1:19" ht="16.8" x14ac:dyDescent="0.4">
      <c r="A64" s="1" t="s">
        <v>150</v>
      </c>
      <c r="B64" s="1" t="s">
        <v>151</v>
      </c>
      <c r="C64" s="1" t="s">
        <v>40</v>
      </c>
      <c r="D64" s="1" t="s">
        <v>17</v>
      </c>
      <c r="E64" s="1">
        <v>27</v>
      </c>
      <c r="F64" s="1">
        <v>1</v>
      </c>
      <c r="G64" s="1">
        <v>27</v>
      </c>
      <c r="H64" s="1" t="s">
        <v>31</v>
      </c>
      <c r="I64" s="1" t="s">
        <v>22</v>
      </c>
      <c r="J64" s="1" t="s">
        <v>27</v>
      </c>
      <c r="K64" s="2">
        <v>45048</v>
      </c>
      <c r="L64" s="2"/>
      <c r="M64" s="2"/>
      <c r="N64" s="1" t="str">
        <f t="shared" si="0"/>
        <v>No</v>
      </c>
      <c r="O64" s="25" t="str">
        <f>_xlfn.XLOOKUP(Orders!C64,'Product Master'!$A$2:$A$23,'Product Master'!$C$2:$C$23)</f>
        <v>Fashion</v>
      </c>
      <c r="P64" s="26" t="str">
        <f t="shared" si="1"/>
        <v>NA</v>
      </c>
      <c r="Q64" s="1" t="str">
        <f>_xlfn.XLOOKUP(B64,'Customer Master'!$A$2:$A$50,'Customer Master'!$B$2:$B$50)</f>
        <v>Noah Wilson</v>
      </c>
      <c r="R64" s="25" t="str" cm="1">
        <f t="array" ref="R64">_xlfn.IFS(P64="NA","NA",P64&lt;=2,"Fast",P64&gt;2,"Slow")</f>
        <v>NA</v>
      </c>
      <c r="S64" s="25" t="str">
        <f>_xlfn.XLOOKUP(C64,'Product Master'!$A$2:$A$23,'Product Master'!$B$2:$B$23)</f>
        <v>T-Shirt</v>
      </c>
    </row>
    <row r="65" spans="1:19" ht="16.8" x14ac:dyDescent="0.4">
      <c r="A65" s="1" t="s">
        <v>152</v>
      </c>
      <c r="B65" s="1" t="s">
        <v>153</v>
      </c>
      <c r="C65" s="1" t="s">
        <v>35</v>
      </c>
      <c r="D65" s="1" t="s">
        <v>33</v>
      </c>
      <c r="E65" s="1">
        <v>139</v>
      </c>
      <c r="F65" s="1">
        <v>5</v>
      </c>
      <c r="G65" s="1">
        <v>695</v>
      </c>
      <c r="H65" s="1" t="s">
        <v>13</v>
      </c>
      <c r="I65" s="1" t="s">
        <v>19</v>
      </c>
      <c r="J65" s="1" t="s">
        <v>23</v>
      </c>
      <c r="K65" s="2">
        <v>45285</v>
      </c>
      <c r="L65" s="2">
        <v>45289</v>
      </c>
      <c r="M65" s="2"/>
      <c r="N65" s="1" t="str">
        <f t="shared" si="0"/>
        <v>No</v>
      </c>
      <c r="O65" s="25" t="str">
        <f>_xlfn.XLOOKUP(Orders!C65,'Product Master'!$A$2:$A$23,'Product Master'!$C$2:$C$23)</f>
        <v>Home</v>
      </c>
      <c r="P65" s="26">
        <f t="shared" si="1"/>
        <v>4</v>
      </c>
      <c r="Q65" s="1" t="str">
        <f>_xlfn.XLOOKUP(B65,'Customer Master'!$A$2:$A$50,'Customer Master'!$B$2:$B$50)</f>
        <v>Noah Wilson</v>
      </c>
      <c r="R65" s="25" t="str" cm="1">
        <f t="array" ref="R65">_xlfn.IFS(P65="NA","NA",P65&lt;=2,"Fast",P65&gt;2,"Slow")</f>
        <v>Slow</v>
      </c>
      <c r="S65" s="25" t="str">
        <f>_xlfn.XLOOKUP(C65,'Product Master'!$A$2:$A$23,'Product Master'!$B$2:$B$23)</f>
        <v>Cookware Set</v>
      </c>
    </row>
    <row r="66" spans="1:19" ht="16.8" x14ac:dyDescent="0.4">
      <c r="A66" s="1" t="s">
        <v>154</v>
      </c>
      <c r="B66" s="1" t="s">
        <v>64</v>
      </c>
      <c r="C66" s="1" t="s">
        <v>42</v>
      </c>
      <c r="D66" s="1" t="s">
        <v>21</v>
      </c>
      <c r="E66" s="1">
        <v>69</v>
      </c>
      <c r="F66" s="1">
        <v>3</v>
      </c>
      <c r="G66" s="1">
        <v>207</v>
      </c>
      <c r="H66" s="1" t="s">
        <v>24</v>
      </c>
      <c r="I66" s="1" t="s">
        <v>14</v>
      </c>
      <c r="J66" s="1" t="s">
        <v>27</v>
      </c>
      <c r="K66" s="2">
        <v>45217</v>
      </c>
      <c r="L66" s="2"/>
      <c r="M66" s="2">
        <v>45219</v>
      </c>
      <c r="N66" s="1" t="str">
        <f t="shared" si="0"/>
        <v>yes</v>
      </c>
      <c r="O66" s="25" t="str">
        <f>_xlfn.XLOOKUP(Orders!C66,'Product Master'!$A$2:$A$23,'Product Master'!$C$2:$C$23)</f>
        <v>Books</v>
      </c>
      <c r="P66" s="26" t="str">
        <f t="shared" si="1"/>
        <v>NA</v>
      </c>
      <c r="Q66" s="1" t="str">
        <f>_xlfn.XLOOKUP(B66,'Customer Master'!$A$2:$A$50,'Customer Master'!$B$2:$B$50)</f>
        <v>Jackson Allen</v>
      </c>
      <c r="R66" s="25" t="str" cm="1">
        <f t="array" ref="R66">_xlfn.IFS(P66="NA","NA",P66&lt;=2,"Fast",P66&gt;2,"Slow")</f>
        <v>NA</v>
      </c>
      <c r="S66" s="25" t="str">
        <f>_xlfn.XLOOKUP(C66,'Product Master'!$A$2:$A$23,'Product Master'!$B$2:$B$23)</f>
        <v>Textbook</v>
      </c>
    </row>
    <row r="67" spans="1:19" ht="16.8" x14ac:dyDescent="0.4">
      <c r="A67" s="1" t="s">
        <v>155</v>
      </c>
      <c r="B67" s="1" t="s">
        <v>64</v>
      </c>
      <c r="C67" s="1" t="s">
        <v>34</v>
      </c>
      <c r="D67" s="1" t="s">
        <v>33</v>
      </c>
      <c r="E67" s="1">
        <v>42</v>
      </c>
      <c r="F67" s="1">
        <v>1</v>
      </c>
      <c r="G67" s="1">
        <v>42</v>
      </c>
      <c r="H67" s="1" t="s">
        <v>13</v>
      </c>
      <c r="I67" s="1" t="s">
        <v>14</v>
      </c>
      <c r="J67" s="1" t="s">
        <v>15</v>
      </c>
      <c r="K67" s="2">
        <v>45066</v>
      </c>
      <c r="L67" s="2"/>
      <c r="M67" s="2">
        <v>45067</v>
      </c>
      <c r="N67" s="1" t="str">
        <f t="shared" ref="N67:N101" si="2">IF(OR(I67="cancelled",M67=" "),"yes","No")</f>
        <v>yes</v>
      </c>
      <c r="O67" s="25" t="str">
        <f>_xlfn.XLOOKUP(Orders!C67,'Product Master'!$A$2:$A$23,'Product Master'!$C$2:$C$23)</f>
        <v>Fashion</v>
      </c>
      <c r="P67" s="26" t="str">
        <f t="shared" ref="P67:P101" si="3">IF(L67="","NA",L67-K67)</f>
        <v>NA</v>
      </c>
      <c r="Q67" s="1" t="str">
        <f>_xlfn.XLOOKUP(B67,'Customer Master'!$A$2:$A$50,'Customer Master'!$B$2:$B$50)</f>
        <v>Jackson Allen</v>
      </c>
      <c r="R67" s="25" t="str" cm="1">
        <f t="array" ref="R67">_xlfn.IFS(P67="NA","NA",P67&lt;=2,"Fast",P67&gt;2,"Slow")</f>
        <v>NA</v>
      </c>
      <c r="S67" s="25" t="str">
        <f>_xlfn.XLOOKUP(C67,'Product Master'!$A$2:$A$23,'Product Master'!$B$2:$B$23)</f>
        <v>Formal Shirt</v>
      </c>
    </row>
    <row r="68" spans="1:19" ht="16.8" x14ac:dyDescent="0.4">
      <c r="A68" s="1" t="s">
        <v>156</v>
      </c>
      <c r="B68" s="1" t="s">
        <v>157</v>
      </c>
      <c r="C68" s="1" t="s">
        <v>49</v>
      </c>
      <c r="D68" s="1" t="s">
        <v>12</v>
      </c>
      <c r="E68" s="1">
        <v>31</v>
      </c>
      <c r="F68" s="1">
        <v>4</v>
      </c>
      <c r="G68" s="1">
        <v>124</v>
      </c>
      <c r="H68" s="1" t="s">
        <v>18</v>
      </c>
      <c r="I68" s="1" t="s">
        <v>19</v>
      </c>
      <c r="J68" s="1" t="s">
        <v>25</v>
      </c>
      <c r="K68" s="2">
        <v>45135</v>
      </c>
      <c r="L68" s="2">
        <v>45137</v>
      </c>
      <c r="M68" s="2"/>
      <c r="N68" s="1" t="str">
        <f t="shared" si="2"/>
        <v>No</v>
      </c>
      <c r="O68" s="25" t="str">
        <f>_xlfn.XLOOKUP(Orders!C68,'Product Master'!$A$2:$A$23,'Product Master'!$C$2:$C$23)</f>
        <v>Toys</v>
      </c>
      <c r="P68" s="26">
        <f t="shared" si="3"/>
        <v>2</v>
      </c>
      <c r="Q68" s="1" t="e">
        <f>_xlfn.XLOOKUP(B68,'Customer Master'!$A$2:$A$50,'Customer Master'!$B$2:$B$50)</f>
        <v>#N/A</v>
      </c>
      <c r="R68" s="25" t="str" cm="1">
        <f t="array" ref="R68">_xlfn.IFS(P68="NA","NA",P68&lt;=2,"Fast",P68&gt;2,"Slow")</f>
        <v>Fast</v>
      </c>
      <c r="S68" s="25" t="str">
        <f>_xlfn.XLOOKUP(C68,'Product Master'!$A$2:$A$23,'Product Master'!$B$2:$B$23)</f>
        <v>Puzzle</v>
      </c>
    </row>
    <row r="69" spans="1:19" ht="16.8" x14ac:dyDescent="0.4">
      <c r="A69" s="1" t="s">
        <v>158</v>
      </c>
      <c r="B69" s="1" t="s">
        <v>75</v>
      </c>
      <c r="C69" s="1" t="s">
        <v>29</v>
      </c>
      <c r="D69" s="1" t="s">
        <v>33</v>
      </c>
      <c r="E69" s="1">
        <v>104</v>
      </c>
      <c r="F69" s="1">
        <v>3</v>
      </c>
      <c r="G69" s="1">
        <v>312</v>
      </c>
      <c r="H69" s="1" t="s">
        <v>18</v>
      </c>
      <c r="I69" s="1" t="s">
        <v>22</v>
      </c>
      <c r="J69" s="1" t="s">
        <v>25</v>
      </c>
      <c r="K69" s="2">
        <v>45278</v>
      </c>
      <c r="L69" s="2"/>
      <c r="M69" s="2"/>
      <c r="N69" s="1" t="str">
        <f t="shared" si="2"/>
        <v>No</v>
      </c>
      <c r="O69" s="25" t="str">
        <f>_xlfn.XLOOKUP(Orders!C69,'Product Master'!$A$2:$A$23,'Product Master'!$C$2:$C$23)</f>
        <v>Electronics</v>
      </c>
      <c r="P69" s="26" t="str">
        <f t="shared" si="3"/>
        <v>NA</v>
      </c>
      <c r="Q69" s="1" t="str">
        <f>_xlfn.XLOOKUP(B69,'Customer Master'!$A$2:$A$50,'Customer Master'!$B$2:$B$50)</f>
        <v>Emily Johnson</v>
      </c>
      <c r="R69" s="25" t="str" cm="1">
        <f t="array" ref="R69">_xlfn.IFS(P69="NA","NA",P69&lt;=2,"Fast",P69&gt;2,"Slow")</f>
        <v>NA</v>
      </c>
      <c r="S69" s="25" t="str">
        <f>_xlfn.XLOOKUP(C69,'Product Master'!$A$2:$A$23,'Product Master'!$B$2:$B$23)</f>
        <v>Bluetooth Speaker</v>
      </c>
    </row>
    <row r="70" spans="1:19" ht="16.8" x14ac:dyDescent="0.4">
      <c r="A70" s="1" t="s">
        <v>159</v>
      </c>
      <c r="B70" s="1" t="s">
        <v>60</v>
      </c>
      <c r="C70" s="1" t="s">
        <v>26</v>
      </c>
      <c r="D70" s="1" t="s">
        <v>17</v>
      </c>
      <c r="E70" s="1">
        <v>58</v>
      </c>
      <c r="F70" s="1">
        <v>2</v>
      </c>
      <c r="G70" s="1">
        <v>116</v>
      </c>
      <c r="H70" s="1" t="s">
        <v>13</v>
      </c>
      <c r="I70" s="1" t="s">
        <v>14</v>
      </c>
      <c r="J70" s="1" t="s">
        <v>23</v>
      </c>
      <c r="K70" s="2">
        <v>45109</v>
      </c>
      <c r="L70" s="2"/>
      <c r="M70" s="2">
        <v>45114</v>
      </c>
      <c r="N70" s="1" t="str">
        <f t="shared" si="2"/>
        <v>yes</v>
      </c>
      <c r="O70" s="25" t="str">
        <f>_xlfn.XLOOKUP(Orders!C70,'Product Master'!$A$2:$A$23,'Product Master'!$C$2:$C$23)</f>
        <v>Fashion</v>
      </c>
      <c r="P70" s="26" t="str">
        <f t="shared" si="3"/>
        <v>NA</v>
      </c>
      <c r="Q70" s="1" t="str">
        <f>_xlfn.XLOOKUP(B70,'Customer Master'!$A$2:$A$50,'Customer Master'!$B$2:$B$50)</f>
        <v>Grace Ward</v>
      </c>
      <c r="R70" s="25" t="str" cm="1">
        <f t="array" ref="R70">_xlfn.IFS(P70="NA","NA",P70&lt;=2,"Fast",P70&gt;2,"Slow")</f>
        <v>NA</v>
      </c>
      <c r="S70" s="25" t="str">
        <f>_xlfn.XLOOKUP(C70,'Product Master'!$A$2:$A$23,'Product Master'!$B$2:$B$23)</f>
        <v>Jeans</v>
      </c>
    </row>
    <row r="71" spans="1:19" ht="16.8" x14ac:dyDescent="0.4">
      <c r="A71" s="1" t="s">
        <v>160</v>
      </c>
      <c r="B71" s="1" t="s">
        <v>64</v>
      </c>
      <c r="C71" s="1" t="s">
        <v>50</v>
      </c>
      <c r="D71" s="1" t="s">
        <v>33</v>
      </c>
      <c r="E71" s="1">
        <v>62</v>
      </c>
      <c r="F71" s="1">
        <v>2</v>
      </c>
      <c r="G71" s="1">
        <v>124</v>
      </c>
      <c r="H71" s="1" t="s">
        <v>31</v>
      </c>
      <c r="I71" s="1" t="s">
        <v>14</v>
      </c>
      <c r="J71" s="1" t="s">
        <v>15</v>
      </c>
      <c r="K71" s="2">
        <v>45208</v>
      </c>
      <c r="L71" s="2"/>
      <c r="M71" s="2">
        <v>45209</v>
      </c>
      <c r="N71" s="1" t="str">
        <f t="shared" si="2"/>
        <v>yes</v>
      </c>
      <c r="O71" s="25" t="str">
        <f>_xlfn.XLOOKUP(Orders!C71,'Product Master'!$A$2:$A$23,'Product Master'!$C$2:$C$23)</f>
        <v>Toys</v>
      </c>
      <c r="P71" s="26" t="str">
        <f t="shared" si="3"/>
        <v>NA</v>
      </c>
      <c r="Q71" s="1" t="str">
        <f>_xlfn.XLOOKUP(B71,'Customer Master'!$A$2:$A$50,'Customer Master'!$B$2:$B$50)</f>
        <v>Jackson Allen</v>
      </c>
      <c r="R71" s="25" t="str" cm="1">
        <f t="array" ref="R71">_xlfn.IFS(P71="NA","NA",P71&lt;=2,"Fast",P71&gt;2,"Slow")</f>
        <v>NA</v>
      </c>
      <c r="S71" s="25" t="str">
        <f>_xlfn.XLOOKUP(C71,'Product Master'!$A$2:$A$23,'Product Master'!$B$2:$B$23)</f>
        <v>Leg Set</v>
      </c>
    </row>
    <row r="72" spans="1:19" ht="16.8" x14ac:dyDescent="0.4">
      <c r="A72" s="1" t="s">
        <v>161</v>
      </c>
      <c r="B72" s="1" t="s">
        <v>120</v>
      </c>
      <c r="C72" s="1" t="s">
        <v>34</v>
      </c>
      <c r="D72" s="1" t="s">
        <v>17</v>
      </c>
      <c r="E72" s="1">
        <v>43</v>
      </c>
      <c r="F72" s="1">
        <v>1</v>
      </c>
      <c r="G72" s="1">
        <v>43</v>
      </c>
      <c r="H72" s="1" t="s">
        <v>18</v>
      </c>
      <c r="I72" s="1" t="s">
        <v>19</v>
      </c>
      <c r="J72" s="1" t="s">
        <v>27</v>
      </c>
      <c r="K72" s="2">
        <v>45278</v>
      </c>
      <c r="L72" s="2">
        <v>45285</v>
      </c>
      <c r="M72" s="2"/>
      <c r="N72" s="1" t="str">
        <f t="shared" si="2"/>
        <v>No</v>
      </c>
      <c r="O72" s="25" t="str">
        <f>_xlfn.XLOOKUP(Orders!C72,'Product Master'!$A$2:$A$23,'Product Master'!$C$2:$C$23)</f>
        <v>Fashion</v>
      </c>
      <c r="P72" s="26">
        <f t="shared" si="3"/>
        <v>7</v>
      </c>
      <c r="Q72" s="1" t="str">
        <f>_xlfn.XLOOKUP(B72,'Customer Master'!$A$2:$A$50,'Customer Master'!$B$2:$B$50)</f>
        <v>Ava Robinson</v>
      </c>
      <c r="R72" s="25" t="str" cm="1">
        <f t="array" ref="R72">_xlfn.IFS(P72="NA","NA",P72&lt;=2,"Fast",P72&gt;2,"Slow")</f>
        <v>Slow</v>
      </c>
      <c r="S72" s="25" t="str">
        <f>_xlfn.XLOOKUP(C72,'Product Master'!$A$2:$A$23,'Product Master'!$B$2:$B$23)</f>
        <v>Formal Shirt</v>
      </c>
    </row>
    <row r="73" spans="1:19" ht="16.8" x14ac:dyDescent="0.4">
      <c r="A73" s="1" t="s">
        <v>162</v>
      </c>
      <c r="B73" s="1" t="s">
        <v>149</v>
      </c>
      <c r="C73" s="1" t="s">
        <v>50</v>
      </c>
      <c r="D73" s="1" t="s">
        <v>17</v>
      </c>
      <c r="E73" s="1">
        <v>62</v>
      </c>
      <c r="F73" s="1">
        <v>4</v>
      </c>
      <c r="G73" s="1">
        <v>248</v>
      </c>
      <c r="H73" s="1" t="s">
        <v>31</v>
      </c>
      <c r="I73" s="1" t="s">
        <v>22</v>
      </c>
      <c r="J73" s="1" t="s">
        <v>27</v>
      </c>
      <c r="K73" s="2">
        <v>44992</v>
      </c>
      <c r="L73" s="2"/>
      <c r="M73" s="2"/>
      <c r="N73" s="1" t="str">
        <f t="shared" si="2"/>
        <v>No</v>
      </c>
      <c r="O73" s="25" t="str">
        <f>_xlfn.XLOOKUP(Orders!C73,'Product Master'!$A$2:$A$23,'Product Master'!$C$2:$C$23)</f>
        <v>Toys</v>
      </c>
      <c r="P73" s="26" t="str">
        <f t="shared" si="3"/>
        <v>NA</v>
      </c>
      <c r="Q73" s="1" t="str">
        <f>_xlfn.XLOOKUP(B73,'Customer Master'!$A$2:$A$50,'Customer Master'!$B$2:$B$50)</f>
        <v>Elijah Lewis</v>
      </c>
      <c r="R73" s="25" t="str" cm="1">
        <f t="array" ref="R73">_xlfn.IFS(P73="NA","NA",P73&lt;=2,"Fast",P73&gt;2,"Slow")</f>
        <v>NA</v>
      </c>
      <c r="S73" s="25" t="str">
        <f>_xlfn.XLOOKUP(C73,'Product Master'!$A$2:$A$23,'Product Master'!$B$2:$B$23)</f>
        <v>Leg Set</v>
      </c>
    </row>
    <row r="74" spans="1:19" ht="16.8" x14ac:dyDescent="0.4">
      <c r="A74" s="1" t="s">
        <v>163</v>
      </c>
      <c r="B74" s="1" t="s">
        <v>95</v>
      </c>
      <c r="C74" s="1" t="s">
        <v>38</v>
      </c>
      <c r="D74" s="1" t="s">
        <v>12</v>
      </c>
      <c r="E74" s="1">
        <v>95</v>
      </c>
      <c r="F74" s="1">
        <v>2</v>
      </c>
      <c r="G74" s="1">
        <v>190</v>
      </c>
      <c r="H74" s="1" t="s">
        <v>24</v>
      </c>
      <c r="I74" s="1" t="s">
        <v>14</v>
      </c>
      <c r="J74" s="1" t="s">
        <v>25</v>
      </c>
      <c r="K74" s="2">
        <v>45129</v>
      </c>
      <c r="L74" s="2"/>
      <c r="M74" s="2">
        <v>45132</v>
      </c>
      <c r="N74" s="1" t="str">
        <f t="shared" si="2"/>
        <v>yes</v>
      </c>
      <c r="O74" s="25" t="str">
        <f>_xlfn.XLOOKUP(Orders!C74,'Product Master'!$A$2:$A$23,'Product Master'!$C$2:$C$23)</f>
        <v>Fashion</v>
      </c>
      <c r="P74" s="26" t="str">
        <f t="shared" si="3"/>
        <v>NA</v>
      </c>
      <c r="Q74" s="1" t="str">
        <f>_xlfn.XLOOKUP(B74,'Customer Master'!$A$2:$A$50,'Customer Master'!$B$2:$B$50)</f>
        <v>Lily Bennett</v>
      </c>
      <c r="R74" s="25" t="str" cm="1">
        <f t="array" ref="R74">_xlfn.IFS(P74="NA","NA",P74&lt;=2,"Fast",P74&gt;2,"Slow")</f>
        <v>NA</v>
      </c>
      <c r="S74" s="25" t="str">
        <f>_xlfn.XLOOKUP(C74,'Product Master'!$A$2:$A$23,'Product Master'!$B$2:$B$23)</f>
        <v>Shoes</v>
      </c>
    </row>
    <row r="75" spans="1:19" ht="16.8" x14ac:dyDescent="0.4">
      <c r="A75" s="1" t="s">
        <v>164</v>
      </c>
      <c r="B75" s="1" t="s">
        <v>93</v>
      </c>
      <c r="C75" s="1" t="s">
        <v>32</v>
      </c>
      <c r="D75" s="1" t="s">
        <v>30</v>
      </c>
      <c r="E75" s="1">
        <v>36</v>
      </c>
      <c r="F75" s="1">
        <v>4</v>
      </c>
      <c r="G75" s="1">
        <v>144</v>
      </c>
      <c r="H75" s="1" t="s">
        <v>13</v>
      </c>
      <c r="I75" s="1" t="s">
        <v>19</v>
      </c>
      <c r="J75" s="1" t="s">
        <v>37</v>
      </c>
      <c r="K75" s="2">
        <v>44944</v>
      </c>
      <c r="L75" s="2">
        <v>44950</v>
      </c>
      <c r="M75" s="2"/>
      <c r="N75" s="1" t="str">
        <f t="shared" si="2"/>
        <v>No</v>
      </c>
      <c r="O75" s="25" t="str">
        <f>_xlfn.XLOOKUP(Orders!C75,'Product Master'!$A$2:$A$23,'Product Master'!$C$2:$C$23)</f>
        <v>Home</v>
      </c>
      <c r="P75" s="26">
        <f t="shared" si="3"/>
        <v>6</v>
      </c>
      <c r="Q75" s="1" t="str">
        <f>_xlfn.XLOOKUP(B75,'Customer Master'!$A$2:$A$50,'Customer Master'!$B$2:$B$50)</f>
        <v>Elijah Lewis</v>
      </c>
      <c r="R75" s="25" t="str" cm="1">
        <f t="array" ref="R75">_xlfn.IFS(P75="NA","NA",P75&lt;=2,"Fast",P75&gt;2,"Slow")</f>
        <v>Slow</v>
      </c>
      <c r="S75" s="25" t="str">
        <f>_xlfn.XLOOKUP(C75,'Product Master'!$A$2:$A$23,'Product Master'!$B$2:$B$23)</f>
        <v>Wall Clock</v>
      </c>
    </row>
    <row r="76" spans="1:19" ht="16.8" x14ac:dyDescent="0.4">
      <c r="A76" s="1" t="s">
        <v>165</v>
      </c>
      <c r="B76" s="1" t="s">
        <v>66</v>
      </c>
      <c r="C76" s="1" t="s">
        <v>39</v>
      </c>
      <c r="D76" s="1" t="s">
        <v>17</v>
      </c>
      <c r="E76" s="1">
        <v>73</v>
      </c>
      <c r="F76" s="1">
        <v>5</v>
      </c>
      <c r="G76" s="1">
        <v>365</v>
      </c>
      <c r="H76" s="1" t="s">
        <v>13</v>
      </c>
      <c r="I76" s="1" t="s">
        <v>22</v>
      </c>
      <c r="J76" s="1" t="s">
        <v>15</v>
      </c>
      <c r="K76" s="2">
        <v>45070</v>
      </c>
      <c r="L76" s="2"/>
      <c r="M76" s="2"/>
      <c r="N76" s="1" t="str">
        <f t="shared" si="2"/>
        <v>No</v>
      </c>
      <c r="O76" s="25" t="str">
        <f>_xlfn.XLOOKUP(Orders!C76,'Product Master'!$A$2:$A$23,'Product Master'!$C$2:$C$23)</f>
        <v>Electronics</v>
      </c>
      <c r="P76" s="26" t="str">
        <f t="shared" si="3"/>
        <v>NA</v>
      </c>
      <c r="Q76" s="1" t="str">
        <f>_xlfn.XLOOKUP(B76,'Customer Master'!$A$2:$A$50,'Customer Master'!$B$2:$B$50)</f>
        <v>Noah Wilson</v>
      </c>
      <c r="R76" s="25" t="str" cm="1">
        <f t="array" ref="R76">_xlfn.IFS(P76="NA","NA",P76&lt;=2,"Fast",P76&gt;2,"Slow")</f>
        <v>NA</v>
      </c>
      <c r="S76" s="25" t="str">
        <f>_xlfn.XLOOKUP(C76,'Product Master'!$A$2:$A$23,'Product Master'!$B$2:$B$23)</f>
        <v>Gaming Mouse</v>
      </c>
    </row>
    <row r="77" spans="1:19" ht="16.8" x14ac:dyDescent="0.4">
      <c r="A77" s="1" t="s">
        <v>166</v>
      </c>
      <c r="B77" s="1" t="s">
        <v>77</v>
      </c>
      <c r="C77" s="1" t="s">
        <v>34</v>
      </c>
      <c r="D77" s="1" t="s">
        <v>12</v>
      </c>
      <c r="E77" s="1">
        <v>43</v>
      </c>
      <c r="F77" s="1">
        <v>4</v>
      </c>
      <c r="G77" s="1">
        <v>172</v>
      </c>
      <c r="H77" s="1" t="s">
        <v>31</v>
      </c>
      <c r="I77" s="1" t="s">
        <v>19</v>
      </c>
      <c r="J77" s="1" t="s">
        <v>15</v>
      </c>
      <c r="K77" s="2">
        <v>45172</v>
      </c>
      <c r="L77" s="2">
        <v>45178</v>
      </c>
      <c r="M77" s="2"/>
      <c r="N77" s="1" t="str">
        <f t="shared" si="2"/>
        <v>No</v>
      </c>
      <c r="O77" s="25" t="str">
        <f>_xlfn.XLOOKUP(Orders!C77,'Product Master'!$A$2:$A$23,'Product Master'!$C$2:$C$23)</f>
        <v>Fashion</v>
      </c>
      <c r="P77" s="26">
        <f t="shared" si="3"/>
        <v>6</v>
      </c>
      <c r="Q77" s="1" t="str">
        <f>_xlfn.XLOOKUP(B77,'Customer Master'!$A$2:$A$50,'Customer Master'!$B$2:$B$50)</f>
        <v>Charlotte Reed</v>
      </c>
      <c r="R77" s="25" t="str" cm="1">
        <f t="array" ref="R77">_xlfn.IFS(P77="NA","NA",P77&lt;=2,"Fast",P77&gt;2,"Slow")</f>
        <v>Slow</v>
      </c>
      <c r="S77" s="25" t="str">
        <f>_xlfn.XLOOKUP(C77,'Product Master'!$A$2:$A$23,'Product Master'!$B$2:$B$23)</f>
        <v>Formal Shirt</v>
      </c>
    </row>
    <row r="78" spans="1:19" ht="16.8" x14ac:dyDescent="0.4">
      <c r="A78" s="1" t="s">
        <v>167</v>
      </c>
      <c r="B78" s="1" t="s">
        <v>151</v>
      </c>
      <c r="C78" s="1" t="s">
        <v>48</v>
      </c>
      <c r="D78" s="1" t="s">
        <v>33</v>
      </c>
      <c r="E78" s="1">
        <v>214</v>
      </c>
      <c r="F78" s="1">
        <v>5</v>
      </c>
      <c r="G78" s="1">
        <v>1070</v>
      </c>
      <c r="H78" s="1" t="s">
        <v>31</v>
      </c>
      <c r="I78" s="1" t="s">
        <v>19</v>
      </c>
      <c r="J78" s="1" t="s">
        <v>25</v>
      </c>
      <c r="K78" s="2">
        <v>45232</v>
      </c>
      <c r="L78" s="2">
        <v>45234</v>
      </c>
      <c r="M78" s="2"/>
      <c r="N78" s="1" t="str">
        <f t="shared" si="2"/>
        <v>No</v>
      </c>
      <c r="O78" s="25" t="str">
        <f>_xlfn.XLOOKUP(Orders!C78,'Product Master'!$A$2:$A$23,'Product Master'!$C$2:$C$23)</f>
        <v>Home</v>
      </c>
      <c r="P78" s="26">
        <f t="shared" si="3"/>
        <v>2</v>
      </c>
      <c r="Q78" s="1" t="str">
        <f>_xlfn.XLOOKUP(B78,'Customer Master'!$A$2:$A$50,'Customer Master'!$B$2:$B$50)</f>
        <v>Noah Wilson</v>
      </c>
      <c r="R78" s="25" t="str" cm="1">
        <f t="array" ref="R78">_xlfn.IFS(P78="NA","NA",P78&lt;=2,"Fast",P78&gt;2,"Slow")</f>
        <v>Fast</v>
      </c>
      <c r="S78" s="25" t="str">
        <f>_xlfn.XLOOKUP(C78,'Product Master'!$A$2:$A$23,'Product Master'!$B$2:$B$23)</f>
        <v>Cookware Set Pro</v>
      </c>
    </row>
    <row r="79" spans="1:19" ht="16.8" x14ac:dyDescent="0.4">
      <c r="A79" s="1" t="s">
        <v>168</v>
      </c>
      <c r="B79" s="1" t="s">
        <v>153</v>
      </c>
      <c r="C79" s="1" t="s">
        <v>44</v>
      </c>
      <c r="D79" s="1" t="s">
        <v>30</v>
      </c>
      <c r="E79" s="1">
        <v>42</v>
      </c>
      <c r="F79" s="1">
        <v>2</v>
      </c>
      <c r="G79" s="1">
        <v>84</v>
      </c>
      <c r="H79" s="1" t="s">
        <v>13</v>
      </c>
      <c r="I79" s="1" t="s">
        <v>14</v>
      </c>
      <c r="J79" s="1" t="s">
        <v>25</v>
      </c>
      <c r="K79" s="2">
        <v>45263</v>
      </c>
      <c r="L79" s="2"/>
      <c r="M79" s="2">
        <v>45266</v>
      </c>
      <c r="N79" s="1" t="str">
        <f t="shared" si="2"/>
        <v>yes</v>
      </c>
      <c r="O79" s="25" t="str">
        <f>_xlfn.XLOOKUP(Orders!C79,'Product Master'!$A$2:$A$23,'Product Master'!$C$2:$C$23)</f>
        <v>Toys</v>
      </c>
      <c r="P79" s="26" t="str">
        <f t="shared" si="3"/>
        <v>NA</v>
      </c>
      <c r="Q79" s="1" t="str">
        <f>_xlfn.XLOOKUP(B79,'Customer Master'!$A$2:$A$50,'Customer Master'!$B$2:$B$50)</f>
        <v>Noah Wilson</v>
      </c>
      <c r="R79" s="25" t="str" cm="1">
        <f t="array" ref="R79">_xlfn.IFS(P79="NA","NA",P79&lt;=2,"Fast",P79&gt;2,"Slow")</f>
        <v>NA</v>
      </c>
      <c r="S79" s="25" t="str">
        <f>_xlfn.XLOOKUP(C79,'Product Master'!$A$2:$A$23,'Product Master'!$B$2:$B$23)</f>
        <v>Action Figure</v>
      </c>
    </row>
    <row r="80" spans="1:19" ht="16.8" x14ac:dyDescent="0.4">
      <c r="A80" s="1" t="s">
        <v>169</v>
      </c>
      <c r="B80" s="1" t="s">
        <v>153</v>
      </c>
      <c r="C80" s="1" t="s">
        <v>11</v>
      </c>
      <c r="D80" s="1" t="s">
        <v>12</v>
      </c>
      <c r="E80" s="1">
        <v>46</v>
      </c>
      <c r="F80" s="1">
        <v>1</v>
      </c>
      <c r="G80" s="1">
        <v>46</v>
      </c>
      <c r="H80" s="1" t="s">
        <v>28</v>
      </c>
      <c r="I80" s="1" t="s">
        <v>22</v>
      </c>
      <c r="J80" s="1" t="s">
        <v>25</v>
      </c>
      <c r="K80" s="2">
        <v>45017</v>
      </c>
      <c r="L80" s="2"/>
      <c r="M80" s="2"/>
      <c r="N80" s="1" t="str">
        <f t="shared" si="2"/>
        <v>No</v>
      </c>
      <c r="O80" s="25" t="str">
        <f>_xlfn.XLOOKUP(Orders!C80,'Product Master'!$A$2:$A$23,'Product Master'!$C$2:$C$23)</f>
        <v>Home</v>
      </c>
      <c r="P80" s="26" t="str">
        <f t="shared" si="3"/>
        <v>NA</v>
      </c>
      <c r="Q80" s="1" t="str">
        <f>_xlfn.XLOOKUP(B80,'Customer Master'!$A$2:$A$50,'Customer Master'!$B$2:$B$50)</f>
        <v>Noah Wilson</v>
      </c>
      <c r="R80" s="25" t="str" cm="1">
        <f t="array" ref="R80">_xlfn.IFS(P80="NA","NA",P80&lt;=2,"Fast",P80&gt;2,"Slow")</f>
        <v>NA</v>
      </c>
      <c r="S80" s="25" t="str">
        <f>_xlfn.XLOOKUP(C80,'Product Master'!$A$2:$A$23,'Product Master'!$B$2:$B$23)</f>
        <v>Lamp</v>
      </c>
    </row>
    <row r="81" spans="1:19" ht="16.8" x14ac:dyDescent="0.4">
      <c r="A81" s="1" t="s">
        <v>170</v>
      </c>
      <c r="B81" s="1" t="s">
        <v>113</v>
      </c>
      <c r="C81" s="1" t="s">
        <v>16</v>
      </c>
      <c r="D81" s="1" t="s">
        <v>17</v>
      </c>
      <c r="E81" s="1">
        <v>95</v>
      </c>
      <c r="F81" s="1">
        <v>4</v>
      </c>
      <c r="G81" s="1">
        <v>380</v>
      </c>
      <c r="H81" s="1" t="s">
        <v>18</v>
      </c>
      <c r="I81" s="1" t="s">
        <v>19</v>
      </c>
      <c r="J81" s="1" t="s">
        <v>25</v>
      </c>
      <c r="K81" s="2">
        <v>45215</v>
      </c>
      <c r="L81" s="2">
        <v>45218</v>
      </c>
      <c r="M81" s="2"/>
      <c r="N81" s="1" t="str">
        <f t="shared" si="2"/>
        <v>No</v>
      </c>
      <c r="O81" s="25" t="str">
        <f>_xlfn.XLOOKUP(Orders!C81,'Product Master'!$A$2:$A$23,'Product Master'!$C$2:$C$23)</f>
        <v>Toys</v>
      </c>
      <c r="P81" s="26">
        <f t="shared" si="3"/>
        <v>3</v>
      </c>
      <c r="Q81" s="1" t="str">
        <f>_xlfn.XLOOKUP(B81,'Customer Master'!$A$2:$A$50,'Customer Master'!$B$2:$B$50)</f>
        <v>Luke Gray</v>
      </c>
      <c r="R81" s="25" t="str" cm="1">
        <f t="array" ref="R81">_xlfn.IFS(P81="NA","NA",P81&lt;=2,"Fast",P81&gt;2,"Slow")</f>
        <v>Slow</v>
      </c>
      <c r="S81" s="25" t="str">
        <f>_xlfn.XLOOKUP(C81,'Product Master'!$A$2:$A$23,'Product Master'!$B$2:$B$23)</f>
        <v>Doll House</v>
      </c>
    </row>
    <row r="82" spans="1:19" ht="16.8" x14ac:dyDescent="0.4">
      <c r="A82" s="1" t="s">
        <v>171</v>
      </c>
      <c r="B82" s="1" t="s">
        <v>122</v>
      </c>
      <c r="C82" s="1" t="s">
        <v>47</v>
      </c>
      <c r="D82" s="1" t="s">
        <v>33</v>
      </c>
      <c r="E82" s="1">
        <v>174</v>
      </c>
      <c r="F82" s="1">
        <v>2</v>
      </c>
      <c r="G82" s="1">
        <v>348</v>
      </c>
      <c r="H82" s="1" t="s">
        <v>24</v>
      </c>
      <c r="I82" s="1" t="s">
        <v>22</v>
      </c>
      <c r="J82" s="1" t="s">
        <v>25</v>
      </c>
      <c r="K82" s="2">
        <v>45235</v>
      </c>
      <c r="L82" s="2"/>
      <c r="M82" s="2"/>
      <c r="N82" s="1" t="str">
        <f t="shared" si="2"/>
        <v>No</v>
      </c>
      <c r="O82" s="25" t="str">
        <f>_xlfn.XLOOKUP(Orders!C82,'Product Master'!$A$2:$A$23,'Product Master'!$C$2:$C$23)</f>
        <v>Electronics</v>
      </c>
      <c r="P82" s="26" t="str">
        <f t="shared" si="3"/>
        <v>NA</v>
      </c>
      <c r="Q82" s="1" t="str">
        <f>_xlfn.XLOOKUP(B82,'Customer Master'!$A$2:$A$50,'Customer Master'!$B$2:$B$50)</f>
        <v>James Miller</v>
      </c>
      <c r="R82" s="25" t="str" cm="1">
        <f t="array" ref="R82">_xlfn.IFS(P82="NA","NA",P82&lt;=2,"Fast",P82&gt;2,"Slow")</f>
        <v>NA</v>
      </c>
      <c r="S82" s="25" t="str">
        <f>_xlfn.XLOOKUP(C82,'Product Master'!$A$2:$A$23,'Product Master'!$B$2:$B$23)</f>
        <v>Headphones</v>
      </c>
    </row>
    <row r="83" spans="1:19" ht="16.8" x14ac:dyDescent="0.4">
      <c r="A83" s="1" t="s">
        <v>172</v>
      </c>
      <c r="B83" s="1" t="s">
        <v>73</v>
      </c>
      <c r="C83" s="1" t="s">
        <v>40</v>
      </c>
      <c r="D83" s="1" t="s">
        <v>12</v>
      </c>
      <c r="E83" s="1">
        <v>27</v>
      </c>
      <c r="F83" s="1">
        <v>5</v>
      </c>
      <c r="G83" s="1">
        <v>135</v>
      </c>
      <c r="H83" s="1" t="s">
        <v>18</v>
      </c>
      <c r="I83" s="1" t="s">
        <v>14</v>
      </c>
      <c r="J83" s="1" t="s">
        <v>27</v>
      </c>
      <c r="K83" s="2">
        <v>45092</v>
      </c>
      <c r="L83" s="2"/>
      <c r="M83" s="2">
        <v>45095</v>
      </c>
      <c r="N83" s="1" t="str">
        <f t="shared" si="2"/>
        <v>yes</v>
      </c>
      <c r="O83" s="25" t="str">
        <f>_xlfn.XLOOKUP(Orders!C83,'Product Master'!$A$2:$A$23,'Product Master'!$C$2:$C$23)</f>
        <v>Fashion</v>
      </c>
      <c r="P83" s="26" t="str">
        <f t="shared" si="3"/>
        <v>NA</v>
      </c>
      <c r="Q83" s="1" t="str">
        <f>_xlfn.XLOOKUP(B83,'Customer Master'!$A$2:$A$50,'Customer Master'!$B$2:$B$50)</f>
        <v>Emily Johnson</v>
      </c>
      <c r="R83" s="25" t="str" cm="1">
        <f t="array" ref="R83">_xlfn.IFS(P83="NA","NA",P83&lt;=2,"Fast",P83&gt;2,"Slow")</f>
        <v>NA</v>
      </c>
      <c r="S83" s="25" t="str">
        <f>_xlfn.XLOOKUP(C83,'Product Master'!$A$2:$A$23,'Product Master'!$B$2:$B$23)</f>
        <v>T-Shirt</v>
      </c>
    </row>
    <row r="84" spans="1:19" ht="16.8" x14ac:dyDescent="0.4">
      <c r="A84" s="1" t="s">
        <v>173</v>
      </c>
      <c r="B84" s="1" t="s">
        <v>55</v>
      </c>
      <c r="C84" s="1" t="s">
        <v>40</v>
      </c>
      <c r="D84" s="1" t="s">
        <v>21</v>
      </c>
      <c r="E84" s="1">
        <v>27</v>
      </c>
      <c r="F84" s="1">
        <v>4</v>
      </c>
      <c r="G84" s="1">
        <v>108</v>
      </c>
      <c r="H84" s="1" t="s">
        <v>24</v>
      </c>
      <c r="I84" s="1" t="s">
        <v>19</v>
      </c>
      <c r="J84" s="1" t="s">
        <v>23</v>
      </c>
      <c r="K84" s="2">
        <v>45227</v>
      </c>
      <c r="L84" s="2">
        <v>45229</v>
      </c>
      <c r="M84" s="2"/>
      <c r="N84" s="1" t="str">
        <f t="shared" si="2"/>
        <v>No</v>
      </c>
      <c r="O84" s="25" t="str">
        <f>_xlfn.XLOOKUP(Orders!C84,'Product Master'!$A$2:$A$23,'Product Master'!$C$2:$C$23)</f>
        <v>Fashion</v>
      </c>
      <c r="P84" s="26">
        <f t="shared" si="3"/>
        <v>2</v>
      </c>
      <c r="Q84" s="1" t="str">
        <f>_xlfn.XLOOKUP(B84,'Customer Master'!$A$2:$A$50,'Customer Master'!$B$2:$B$50)</f>
        <v>Zoe Mitchell</v>
      </c>
      <c r="R84" s="25" t="str" cm="1">
        <f t="array" ref="R84">_xlfn.IFS(P84="NA","NA",P84&lt;=2,"Fast",P84&gt;2,"Slow")</f>
        <v>Fast</v>
      </c>
      <c r="S84" s="25" t="str">
        <f>_xlfn.XLOOKUP(C84,'Product Master'!$A$2:$A$23,'Product Master'!$B$2:$B$23)</f>
        <v>T-Shirt</v>
      </c>
    </row>
    <row r="85" spans="1:19" ht="16.8" x14ac:dyDescent="0.4">
      <c r="A85" s="1" t="s">
        <v>174</v>
      </c>
      <c r="B85" s="1" t="s">
        <v>175</v>
      </c>
      <c r="C85" s="1" t="s">
        <v>45</v>
      </c>
      <c r="D85" s="1" t="s">
        <v>21</v>
      </c>
      <c r="E85" s="1">
        <v>65</v>
      </c>
      <c r="F85" s="1">
        <v>2</v>
      </c>
      <c r="G85" s="1">
        <v>130</v>
      </c>
      <c r="H85" s="1" t="s">
        <v>24</v>
      </c>
      <c r="I85" s="1" t="s">
        <v>22</v>
      </c>
      <c r="J85" s="1" t="s">
        <v>15</v>
      </c>
      <c r="K85" s="2">
        <v>45282</v>
      </c>
      <c r="L85" s="2"/>
      <c r="M85" s="2"/>
      <c r="N85" s="1" t="str">
        <f t="shared" si="2"/>
        <v>No</v>
      </c>
      <c r="O85" s="25" t="str">
        <f>_xlfn.XLOOKUP(Orders!C85,'Product Master'!$A$2:$A$23,'Product Master'!$C$2:$C$23)</f>
        <v>Fashion</v>
      </c>
      <c r="P85" s="26" t="str">
        <f t="shared" si="3"/>
        <v>NA</v>
      </c>
      <c r="Q85" s="1" t="str">
        <f>_xlfn.XLOOKUP(B85,'Customer Master'!$A$2:$A$50,'Customer Master'!$B$2:$B$50)</f>
        <v>Ava White</v>
      </c>
      <c r="R85" s="25" t="str" cm="1">
        <f t="array" ref="R85">_xlfn.IFS(P85="NA","NA",P85&lt;=2,"Fast",P85&gt;2,"Slow")</f>
        <v>NA</v>
      </c>
      <c r="S85" s="25" t="str">
        <f>_xlfn.XLOOKUP(C85,'Product Master'!$A$2:$A$23,'Product Master'!$B$2:$B$23)</f>
        <v>Backpack</v>
      </c>
    </row>
    <row r="86" spans="1:19" ht="16.8" x14ac:dyDescent="0.4">
      <c r="A86" s="1" t="s">
        <v>176</v>
      </c>
      <c r="B86" s="1" t="s">
        <v>75</v>
      </c>
      <c r="C86" s="1" t="s">
        <v>34</v>
      </c>
      <c r="D86" s="1" t="s">
        <v>17</v>
      </c>
      <c r="E86" s="1">
        <v>43</v>
      </c>
      <c r="F86" s="1">
        <v>5</v>
      </c>
      <c r="G86" s="1">
        <v>215</v>
      </c>
      <c r="H86" s="1" t="s">
        <v>31</v>
      </c>
      <c r="I86" s="1" t="s">
        <v>22</v>
      </c>
      <c r="J86" s="1" t="s">
        <v>15</v>
      </c>
      <c r="K86" s="2">
        <v>44992</v>
      </c>
      <c r="L86" s="2"/>
      <c r="M86" s="2"/>
      <c r="N86" s="1" t="str">
        <f t="shared" si="2"/>
        <v>No</v>
      </c>
      <c r="O86" s="25" t="str">
        <f>_xlfn.XLOOKUP(Orders!C86,'Product Master'!$A$2:$A$23,'Product Master'!$C$2:$C$23)</f>
        <v>Fashion</v>
      </c>
      <c r="P86" s="26" t="str">
        <f t="shared" si="3"/>
        <v>NA</v>
      </c>
      <c r="Q86" s="1" t="str">
        <f>_xlfn.XLOOKUP(B86,'Customer Master'!$A$2:$A$50,'Customer Master'!$B$2:$B$50)</f>
        <v>Emily Johnson</v>
      </c>
      <c r="R86" s="25" t="str" cm="1">
        <f t="array" ref="R86">_xlfn.IFS(P86="NA","NA",P86&lt;=2,"Fast",P86&gt;2,"Slow")</f>
        <v>NA</v>
      </c>
      <c r="S86" s="25" t="str">
        <f>_xlfn.XLOOKUP(C86,'Product Master'!$A$2:$A$23,'Product Master'!$B$2:$B$23)</f>
        <v>Formal Shirt</v>
      </c>
    </row>
    <row r="87" spans="1:19" ht="16.8" x14ac:dyDescent="0.4">
      <c r="A87" s="1" t="s">
        <v>177</v>
      </c>
      <c r="B87" s="1" t="s">
        <v>103</v>
      </c>
      <c r="C87" s="1" t="s">
        <v>48</v>
      </c>
      <c r="D87" s="1" t="s">
        <v>33</v>
      </c>
      <c r="E87" s="1">
        <v>210</v>
      </c>
      <c r="F87" s="1">
        <v>1</v>
      </c>
      <c r="G87" s="1">
        <v>210</v>
      </c>
      <c r="H87" s="1" t="s">
        <v>24</v>
      </c>
      <c r="I87" s="1" t="s">
        <v>22</v>
      </c>
      <c r="J87" s="1" t="s">
        <v>25</v>
      </c>
      <c r="K87" s="2">
        <v>45240</v>
      </c>
      <c r="L87" s="2"/>
      <c r="M87" s="2"/>
      <c r="N87" s="1" t="str">
        <f t="shared" si="2"/>
        <v>No</v>
      </c>
      <c r="O87" s="25" t="str">
        <f>_xlfn.XLOOKUP(Orders!C87,'Product Master'!$A$2:$A$23,'Product Master'!$C$2:$C$23)</f>
        <v>Home</v>
      </c>
      <c r="P87" s="26" t="str">
        <f t="shared" si="3"/>
        <v>NA</v>
      </c>
      <c r="Q87" s="1" t="str">
        <f>_xlfn.XLOOKUP(B87,'Customer Master'!$A$2:$A$50,'Customer Master'!$B$2:$B$50)</f>
        <v>Liam Walker</v>
      </c>
      <c r="R87" s="25" t="str" cm="1">
        <f t="array" ref="R87">_xlfn.IFS(P87="NA","NA",P87&lt;=2,"Fast",P87&gt;2,"Slow")</f>
        <v>NA</v>
      </c>
      <c r="S87" s="25" t="str">
        <f>_xlfn.XLOOKUP(C87,'Product Master'!$A$2:$A$23,'Product Master'!$B$2:$B$23)</f>
        <v>Cookware Set Pro</v>
      </c>
    </row>
    <row r="88" spans="1:19" ht="16.8" x14ac:dyDescent="0.4">
      <c r="A88" s="1" t="s">
        <v>178</v>
      </c>
      <c r="B88" s="1" t="s">
        <v>179</v>
      </c>
      <c r="C88" s="1" t="s">
        <v>32</v>
      </c>
      <c r="D88" s="1" t="s">
        <v>21</v>
      </c>
      <c r="E88" s="1">
        <v>37</v>
      </c>
      <c r="F88" s="1">
        <v>3</v>
      </c>
      <c r="G88" s="1">
        <v>111</v>
      </c>
      <c r="H88" s="1" t="s">
        <v>18</v>
      </c>
      <c r="I88" s="1" t="s">
        <v>22</v>
      </c>
      <c r="J88" s="1" t="s">
        <v>25</v>
      </c>
      <c r="K88" s="2">
        <v>45252</v>
      </c>
      <c r="L88" s="2"/>
      <c r="M88" s="2"/>
      <c r="N88" s="1" t="str">
        <f t="shared" si="2"/>
        <v>No</v>
      </c>
      <c r="O88" s="25" t="str">
        <f>_xlfn.XLOOKUP(Orders!C88,'Product Master'!$A$2:$A$23,'Product Master'!$C$2:$C$23)</f>
        <v>Home</v>
      </c>
      <c r="P88" s="26" t="str">
        <f t="shared" si="3"/>
        <v>NA</v>
      </c>
      <c r="Q88" s="1" t="str">
        <f>_xlfn.XLOOKUP(B88,'Customer Master'!$A$2:$A$50,'Customer Master'!$B$2:$B$50)</f>
        <v>Lily Reed</v>
      </c>
      <c r="R88" s="25" t="str" cm="1">
        <f t="array" ref="R88">_xlfn.IFS(P88="NA","NA",P88&lt;=2,"Fast",P88&gt;2,"Slow")</f>
        <v>NA</v>
      </c>
      <c r="S88" s="25" t="str">
        <f>_xlfn.XLOOKUP(C88,'Product Master'!$A$2:$A$23,'Product Master'!$B$2:$B$23)</f>
        <v>Wall Clock</v>
      </c>
    </row>
    <row r="89" spans="1:19" ht="16.8" x14ac:dyDescent="0.4">
      <c r="A89" s="1" t="s">
        <v>180</v>
      </c>
      <c r="B89" s="1" t="s">
        <v>103</v>
      </c>
      <c r="C89" s="1" t="s">
        <v>43</v>
      </c>
      <c r="D89" s="1" t="s">
        <v>21</v>
      </c>
      <c r="E89" s="1">
        <v>788</v>
      </c>
      <c r="F89" s="1">
        <v>4</v>
      </c>
      <c r="G89" s="1">
        <v>3152</v>
      </c>
      <c r="H89" s="1" t="s">
        <v>31</v>
      </c>
      <c r="I89" s="1" t="s">
        <v>22</v>
      </c>
      <c r="J89" s="1" t="s">
        <v>27</v>
      </c>
      <c r="K89" s="2">
        <v>45054</v>
      </c>
      <c r="L89" s="2"/>
      <c r="M89" s="2"/>
      <c r="N89" s="1" t="str">
        <f t="shared" si="2"/>
        <v>No</v>
      </c>
      <c r="O89" s="25" t="str">
        <f>_xlfn.XLOOKUP(Orders!C89,'Product Master'!$A$2:$A$23,'Product Master'!$C$2:$C$23)</f>
        <v>Electronics</v>
      </c>
      <c r="P89" s="26" t="str">
        <f t="shared" si="3"/>
        <v>NA</v>
      </c>
      <c r="Q89" s="1" t="str">
        <f>_xlfn.XLOOKUP(B89,'Customer Master'!$A$2:$A$50,'Customer Master'!$B$2:$B$50)</f>
        <v>Liam Walker</v>
      </c>
      <c r="R89" s="25" t="str" cm="1">
        <f t="array" ref="R89">_xlfn.IFS(P89="NA","NA",P89&lt;=2,"Fast",P89&gt;2,"Slow")</f>
        <v>NA</v>
      </c>
      <c r="S89" s="25" t="str">
        <f>_xlfn.XLOOKUP(C89,'Product Master'!$A$2:$A$23,'Product Master'!$B$2:$B$23)</f>
        <v>Smartphone</v>
      </c>
    </row>
    <row r="90" spans="1:19" ht="16.8" x14ac:dyDescent="0.4">
      <c r="A90" s="1" t="s">
        <v>181</v>
      </c>
      <c r="B90" s="1" t="s">
        <v>103</v>
      </c>
      <c r="C90" s="1" t="s">
        <v>48</v>
      </c>
      <c r="D90" s="1" t="s">
        <v>33</v>
      </c>
      <c r="E90" s="1">
        <v>217</v>
      </c>
      <c r="F90" s="1">
        <v>5</v>
      </c>
      <c r="G90" s="1">
        <v>1085</v>
      </c>
      <c r="H90" s="1" t="s">
        <v>31</v>
      </c>
      <c r="I90" s="1" t="s">
        <v>22</v>
      </c>
      <c r="J90" s="1" t="s">
        <v>37</v>
      </c>
      <c r="K90" s="2">
        <v>45120</v>
      </c>
      <c r="L90" s="2"/>
      <c r="M90" s="2"/>
      <c r="N90" s="1" t="str">
        <f t="shared" si="2"/>
        <v>No</v>
      </c>
      <c r="O90" s="25" t="str">
        <f>_xlfn.XLOOKUP(Orders!C90,'Product Master'!$A$2:$A$23,'Product Master'!$C$2:$C$23)</f>
        <v>Home</v>
      </c>
      <c r="P90" s="26" t="str">
        <f t="shared" si="3"/>
        <v>NA</v>
      </c>
      <c r="Q90" s="1" t="str">
        <f>_xlfn.XLOOKUP(B90,'Customer Master'!$A$2:$A$50,'Customer Master'!$B$2:$B$50)</f>
        <v>Liam Walker</v>
      </c>
      <c r="R90" s="25" t="str" cm="1">
        <f t="array" ref="R90">_xlfn.IFS(P90="NA","NA",P90&lt;=2,"Fast",P90&gt;2,"Slow")</f>
        <v>NA</v>
      </c>
      <c r="S90" s="25" t="str">
        <f>_xlfn.XLOOKUP(C90,'Product Master'!$A$2:$A$23,'Product Master'!$B$2:$B$23)</f>
        <v>Cookware Set Pro</v>
      </c>
    </row>
    <row r="91" spans="1:19" ht="16.8" x14ac:dyDescent="0.4">
      <c r="A91" s="1" t="s">
        <v>182</v>
      </c>
      <c r="B91" s="1" t="s">
        <v>103</v>
      </c>
      <c r="C91" s="1" t="s">
        <v>35</v>
      </c>
      <c r="D91" s="1" t="s">
        <v>33</v>
      </c>
      <c r="E91" s="1">
        <v>138</v>
      </c>
      <c r="F91" s="1">
        <v>4</v>
      </c>
      <c r="G91" s="1">
        <v>552</v>
      </c>
      <c r="H91" s="1" t="s">
        <v>18</v>
      </c>
      <c r="I91" s="1" t="s">
        <v>22</v>
      </c>
      <c r="J91" s="1" t="s">
        <v>37</v>
      </c>
      <c r="K91" s="2">
        <v>44944</v>
      </c>
      <c r="L91" s="2"/>
      <c r="M91" s="2"/>
      <c r="N91" s="1" t="str">
        <f t="shared" si="2"/>
        <v>No</v>
      </c>
      <c r="O91" s="25" t="str">
        <f>_xlfn.XLOOKUP(Orders!C91,'Product Master'!$A$2:$A$23,'Product Master'!$C$2:$C$23)</f>
        <v>Home</v>
      </c>
      <c r="P91" s="26" t="str">
        <f t="shared" si="3"/>
        <v>NA</v>
      </c>
      <c r="Q91" s="1" t="str">
        <f>_xlfn.XLOOKUP(B91,'Customer Master'!$A$2:$A$50,'Customer Master'!$B$2:$B$50)</f>
        <v>Liam Walker</v>
      </c>
      <c r="R91" s="25" t="str" cm="1">
        <f t="array" ref="R91">_xlfn.IFS(P91="NA","NA",P91&lt;=2,"Fast",P91&gt;2,"Slow")</f>
        <v>NA</v>
      </c>
      <c r="S91" s="25" t="str">
        <f>_xlfn.XLOOKUP(C91,'Product Master'!$A$2:$A$23,'Product Master'!$B$2:$B$23)</f>
        <v>Cookware Set</v>
      </c>
    </row>
    <row r="92" spans="1:19" ht="16.8" x14ac:dyDescent="0.4">
      <c r="A92" s="1" t="s">
        <v>183</v>
      </c>
      <c r="B92" s="1" t="s">
        <v>184</v>
      </c>
      <c r="C92" s="1" t="s">
        <v>43</v>
      </c>
      <c r="D92" s="1" t="s">
        <v>30</v>
      </c>
      <c r="E92" s="1">
        <v>803</v>
      </c>
      <c r="F92" s="1">
        <v>2</v>
      </c>
      <c r="G92" s="1">
        <v>1606</v>
      </c>
      <c r="H92" s="1" t="s">
        <v>13</v>
      </c>
      <c r="I92" s="1" t="s">
        <v>19</v>
      </c>
      <c r="J92" s="1" t="s">
        <v>37</v>
      </c>
      <c r="K92" s="2">
        <v>45100</v>
      </c>
      <c r="L92" s="2">
        <v>45106</v>
      </c>
      <c r="M92" s="2"/>
      <c r="N92" s="1" t="str">
        <f t="shared" si="2"/>
        <v>No</v>
      </c>
      <c r="O92" s="25" t="str">
        <f>_xlfn.XLOOKUP(Orders!C92,'Product Master'!$A$2:$A$23,'Product Master'!$C$2:$C$23)</f>
        <v>Electronics</v>
      </c>
      <c r="P92" s="26">
        <f t="shared" si="3"/>
        <v>6</v>
      </c>
      <c r="Q92" s="1" t="str">
        <f>_xlfn.XLOOKUP(B92,'Customer Master'!$A$2:$A$50,'Customer Master'!$B$2:$B$50)</f>
        <v>Mason Collins</v>
      </c>
      <c r="R92" s="25" t="str" cm="1">
        <f t="array" ref="R92">_xlfn.IFS(P92="NA","NA",P92&lt;=2,"Fast",P92&gt;2,"Slow")</f>
        <v>Slow</v>
      </c>
      <c r="S92" s="25" t="str">
        <f>_xlfn.XLOOKUP(C92,'Product Master'!$A$2:$A$23,'Product Master'!$B$2:$B$23)</f>
        <v>Smartphone</v>
      </c>
    </row>
    <row r="93" spans="1:19" ht="16.8" x14ac:dyDescent="0.4">
      <c r="A93" s="1" t="s">
        <v>185</v>
      </c>
      <c r="B93" s="1" t="s">
        <v>70</v>
      </c>
      <c r="C93" s="1" t="s">
        <v>36</v>
      </c>
      <c r="D93" s="1" t="s">
        <v>12</v>
      </c>
      <c r="E93" s="1">
        <v>248</v>
      </c>
      <c r="F93" s="1">
        <v>5</v>
      </c>
      <c r="G93" s="1">
        <v>1240</v>
      </c>
      <c r="H93" s="1" t="s">
        <v>24</v>
      </c>
      <c r="I93" s="1" t="s">
        <v>14</v>
      </c>
      <c r="J93" s="1" t="s">
        <v>25</v>
      </c>
      <c r="K93" s="2">
        <v>44978</v>
      </c>
      <c r="L93" s="2"/>
      <c r="M93" s="2">
        <v>44982</v>
      </c>
      <c r="N93" s="1" t="str">
        <f t="shared" si="2"/>
        <v>yes</v>
      </c>
      <c r="O93" s="25" t="str">
        <f>_xlfn.XLOOKUP(Orders!C93,'Product Master'!$A$2:$A$23,'Product Master'!$C$2:$C$23)</f>
        <v>Electronics</v>
      </c>
      <c r="P93" s="26" t="str">
        <f t="shared" si="3"/>
        <v>NA</v>
      </c>
      <c r="Q93" s="1" t="str">
        <f>_xlfn.XLOOKUP(B93,'Customer Master'!$A$2:$A$50,'Customer Master'!$B$2:$B$50)</f>
        <v>Olivia Martinez</v>
      </c>
      <c r="R93" s="25" t="str" cm="1">
        <f t="array" ref="R93">_xlfn.IFS(P93="NA","NA",P93&lt;=2,"Fast",P93&gt;2,"Slow")</f>
        <v>NA</v>
      </c>
      <c r="S93" s="25" t="str">
        <f>_xlfn.XLOOKUP(C93,'Product Master'!$A$2:$A$23,'Product Master'!$B$2:$B$23)</f>
        <v>Smartwatch</v>
      </c>
    </row>
    <row r="94" spans="1:19" ht="16.8" x14ac:dyDescent="0.4">
      <c r="A94" s="1" t="s">
        <v>186</v>
      </c>
      <c r="B94" s="1" t="s">
        <v>187</v>
      </c>
      <c r="C94" s="1" t="s">
        <v>48</v>
      </c>
      <c r="D94" s="1" t="s">
        <v>17</v>
      </c>
      <c r="E94" s="1">
        <v>210</v>
      </c>
      <c r="F94" s="1">
        <v>3</v>
      </c>
      <c r="G94" s="1">
        <v>630</v>
      </c>
      <c r="H94" s="1" t="s">
        <v>13</v>
      </c>
      <c r="I94" s="1" t="s">
        <v>19</v>
      </c>
      <c r="J94" s="1" t="s">
        <v>15</v>
      </c>
      <c r="K94" s="2">
        <v>44976</v>
      </c>
      <c r="L94" s="2">
        <v>44978</v>
      </c>
      <c r="M94" s="2"/>
      <c r="N94" s="1" t="str">
        <f t="shared" si="2"/>
        <v>No</v>
      </c>
      <c r="O94" s="25" t="str">
        <f>_xlfn.XLOOKUP(Orders!C94,'Product Master'!$A$2:$A$23,'Product Master'!$C$2:$C$23)</f>
        <v>Home</v>
      </c>
      <c r="P94" s="26">
        <f t="shared" si="3"/>
        <v>2</v>
      </c>
      <c r="Q94" s="1" t="str">
        <f>_xlfn.XLOOKUP(B94,'Customer Master'!$A$2:$A$50,'Customer Master'!$B$2:$B$50)</f>
        <v>Ethan Davis</v>
      </c>
      <c r="R94" s="25" t="str" cm="1">
        <f t="array" ref="R94">_xlfn.IFS(P94="NA","NA",P94&lt;=2,"Fast",P94&gt;2,"Slow")</f>
        <v>Fast</v>
      </c>
      <c r="S94" s="25" t="str">
        <f>_xlfn.XLOOKUP(C94,'Product Master'!$A$2:$A$23,'Product Master'!$B$2:$B$23)</f>
        <v>Cookware Set Pro</v>
      </c>
    </row>
    <row r="95" spans="1:19" ht="16.8" x14ac:dyDescent="0.4">
      <c r="A95" s="1" t="s">
        <v>188</v>
      </c>
      <c r="B95" s="1" t="s">
        <v>70</v>
      </c>
      <c r="C95" s="1" t="s">
        <v>50</v>
      </c>
      <c r="D95" s="1" t="s">
        <v>12</v>
      </c>
      <c r="E95" s="1">
        <v>62</v>
      </c>
      <c r="F95" s="1">
        <v>2</v>
      </c>
      <c r="G95" s="1">
        <v>124</v>
      </c>
      <c r="H95" s="1" t="s">
        <v>18</v>
      </c>
      <c r="I95" s="1" t="s">
        <v>14</v>
      </c>
      <c r="J95" s="1" t="s">
        <v>37</v>
      </c>
      <c r="K95" s="2">
        <v>45265</v>
      </c>
      <c r="L95" s="2"/>
      <c r="M95" s="2">
        <v>45272</v>
      </c>
      <c r="N95" s="1" t="str">
        <f t="shared" si="2"/>
        <v>yes</v>
      </c>
      <c r="O95" s="25" t="str">
        <f>_xlfn.XLOOKUP(Orders!C95,'Product Master'!$A$2:$A$23,'Product Master'!$C$2:$C$23)</f>
        <v>Toys</v>
      </c>
      <c r="P95" s="26" t="str">
        <f t="shared" si="3"/>
        <v>NA</v>
      </c>
      <c r="Q95" s="1" t="str">
        <f>_xlfn.XLOOKUP(B95,'Customer Master'!$A$2:$A$50,'Customer Master'!$B$2:$B$50)</f>
        <v>Olivia Martinez</v>
      </c>
      <c r="R95" s="25" t="str" cm="1">
        <f t="array" ref="R95">_xlfn.IFS(P95="NA","NA",P95&lt;=2,"Fast",P95&gt;2,"Slow")</f>
        <v>NA</v>
      </c>
      <c r="S95" s="25" t="str">
        <f>_xlfn.XLOOKUP(C95,'Product Master'!$A$2:$A$23,'Product Master'!$B$2:$B$23)</f>
        <v>Leg Set</v>
      </c>
    </row>
    <row r="96" spans="1:19" ht="16.8" x14ac:dyDescent="0.4">
      <c r="A96" s="1" t="s">
        <v>189</v>
      </c>
      <c r="B96" s="1" t="s">
        <v>179</v>
      </c>
      <c r="C96" s="1" t="s">
        <v>46</v>
      </c>
      <c r="D96" s="1" t="s">
        <v>21</v>
      </c>
      <c r="E96" s="1">
        <v>11</v>
      </c>
      <c r="F96" s="1">
        <v>5</v>
      </c>
      <c r="G96" s="1">
        <v>55</v>
      </c>
      <c r="H96" s="1" t="s">
        <v>31</v>
      </c>
      <c r="I96" s="1" t="s">
        <v>14</v>
      </c>
      <c r="J96" s="1" t="s">
        <v>27</v>
      </c>
      <c r="K96" s="2">
        <v>45084</v>
      </c>
      <c r="L96" s="2"/>
      <c r="M96" s="2">
        <v>45089</v>
      </c>
      <c r="N96" s="1" t="str">
        <f t="shared" si="2"/>
        <v>yes</v>
      </c>
      <c r="O96" s="25" t="str">
        <f>_xlfn.XLOOKUP(Orders!C96,'Product Master'!$A$2:$A$23,'Product Master'!$C$2:$C$23)</f>
        <v>Books</v>
      </c>
      <c r="P96" s="26" t="str">
        <f t="shared" si="3"/>
        <v>NA</v>
      </c>
      <c r="Q96" s="1" t="str">
        <f>_xlfn.XLOOKUP(B96,'Customer Master'!$A$2:$A$50,'Customer Master'!$B$2:$B$50)</f>
        <v>Lily Reed</v>
      </c>
      <c r="R96" s="25" t="str" cm="1">
        <f t="array" ref="R96">_xlfn.IFS(P96="NA","NA",P96&lt;=2,"Fast",P96&gt;2,"Slow")</f>
        <v>NA</v>
      </c>
      <c r="S96" s="25" t="str">
        <f>_xlfn.XLOOKUP(C96,'Product Master'!$A$2:$A$23,'Product Master'!$B$2:$B$23)</f>
        <v>Magazine</v>
      </c>
    </row>
    <row r="97" spans="1:19" ht="16.8" x14ac:dyDescent="0.4">
      <c r="A97" s="1" t="s">
        <v>190</v>
      </c>
      <c r="B97" s="1" t="s">
        <v>140</v>
      </c>
      <c r="C97" s="1" t="s">
        <v>41</v>
      </c>
      <c r="D97" s="1" t="s">
        <v>12</v>
      </c>
      <c r="E97" s="1">
        <v>21</v>
      </c>
      <c r="F97" s="1">
        <v>2</v>
      </c>
      <c r="G97" s="1">
        <v>42</v>
      </c>
      <c r="H97" s="1" t="s">
        <v>28</v>
      </c>
      <c r="I97" s="1" t="s">
        <v>19</v>
      </c>
      <c r="J97" s="1" t="s">
        <v>25</v>
      </c>
      <c r="K97" s="2">
        <v>45116</v>
      </c>
      <c r="L97" s="2">
        <v>45119</v>
      </c>
      <c r="M97" s="2"/>
      <c r="N97" s="1" t="str">
        <f t="shared" si="2"/>
        <v>No</v>
      </c>
      <c r="O97" s="25" t="str">
        <f>_xlfn.XLOOKUP(Orders!C97,'Product Master'!$A$2:$A$23,'Product Master'!$C$2:$C$23)</f>
        <v>Books</v>
      </c>
      <c r="P97" s="26">
        <f t="shared" si="3"/>
        <v>3</v>
      </c>
      <c r="Q97" s="1" t="str">
        <f>_xlfn.XLOOKUP(B97,'Customer Master'!$A$2:$A$50,'Customer Master'!$B$2:$B$50)</f>
        <v>Emma King</v>
      </c>
      <c r="R97" s="25" t="str" cm="1">
        <f t="array" ref="R97">_xlfn.IFS(P97="NA","NA",P97&lt;=2,"Fast",P97&gt;2,"Slow")</f>
        <v>Slow</v>
      </c>
      <c r="S97" s="25" t="str">
        <f>_xlfn.XLOOKUP(C97,'Product Master'!$A$2:$A$23,'Product Master'!$B$2:$B$23)</f>
        <v>Novel</v>
      </c>
    </row>
    <row r="98" spans="1:19" ht="16.8" x14ac:dyDescent="0.4">
      <c r="A98" s="1" t="s">
        <v>191</v>
      </c>
      <c r="B98" s="1" t="s">
        <v>77</v>
      </c>
      <c r="C98" s="1" t="s">
        <v>16</v>
      </c>
      <c r="D98" s="1" t="s">
        <v>33</v>
      </c>
      <c r="E98" s="1">
        <v>95</v>
      </c>
      <c r="F98" s="1">
        <v>5</v>
      </c>
      <c r="G98" s="1">
        <v>475</v>
      </c>
      <c r="H98" s="1" t="s">
        <v>28</v>
      </c>
      <c r="I98" s="1" t="s">
        <v>19</v>
      </c>
      <c r="J98" s="1" t="s">
        <v>27</v>
      </c>
      <c r="K98" s="2">
        <v>45283</v>
      </c>
      <c r="L98" s="2">
        <v>45286</v>
      </c>
      <c r="M98" s="2"/>
      <c r="N98" s="1" t="str">
        <f t="shared" si="2"/>
        <v>No</v>
      </c>
      <c r="O98" s="25" t="str">
        <f>_xlfn.XLOOKUP(Orders!C98,'Product Master'!$A$2:$A$23,'Product Master'!$C$2:$C$23)</f>
        <v>Toys</v>
      </c>
      <c r="P98" s="26">
        <f t="shared" si="3"/>
        <v>3</v>
      </c>
      <c r="Q98" s="1" t="str">
        <f>_xlfn.XLOOKUP(B98,'Customer Master'!$A$2:$A$50,'Customer Master'!$B$2:$B$50)</f>
        <v>Charlotte Reed</v>
      </c>
      <c r="R98" s="25" t="str" cm="1">
        <f t="array" ref="R98">_xlfn.IFS(P98="NA","NA",P98&lt;=2,"Fast",P98&gt;2,"Slow")</f>
        <v>Slow</v>
      </c>
      <c r="S98" s="25" t="str">
        <f>_xlfn.XLOOKUP(C98,'Product Master'!$A$2:$A$23,'Product Master'!$B$2:$B$23)</f>
        <v>Doll House</v>
      </c>
    </row>
    <row r="99" spans="1:19" ht="16.8" x14ac:dyDescent="0.4">
      <c r="A99" s="1" t="s">
        <v>192</v>
      </c>
      <c r="B99" s="1" t="s">
        <v>60</v>
      </c>
      <c r="C99" s="1" t="s">
        <v>48</v>
      </c>
      <c r="D99" s="1" t="s">
        <v>21</v>
      </c>
      <c r="E99" s="1">
        <v>215</v>
      </c>
      <c r="F99" s="1">
        <v>2</v>
      </c>
      <c r="G99" s="1">
        <v>430</v>
      </c>
      <c r="H99" s="1" t="s">
        <v>24</v>
      </c>
      <c r="I99" s="1" t="s">
        <v>19</v>
      </c>
      <c r="J99" s="1" t="s">
        <v>27</v>
      </c>
      <c r="K99" s="2">
        <v>45194</v>
      </c>
      <c r="L99" s="2">
        <v>45199</v>
      </c>
      <c r="M99" s="2"/>
      <c r="N99" s="1" t="str">
        <f t="shared" si="2"/>
        <v>No</v>
      </c>
      <c r="O99" s="25" t="str">
        <f>_xlfn.XLOOKUP(Orders!C99,'Product Master'!$A$2:$A$23,'Product Master'!$C$2:$C$23)</f>
        <v>Home</v>
      </c>
      <c r="P99" s="26">
        <f t="shared" si="3"/>
        <v>5</v>
      </c>
      <c r="Q99" s="1" t="str">
        <f>_xlfn.XLOOKUP(B99,'Customer Master'!$A$2:$A$50,'Customer Master'!$B$2:$B$50)</f>
        <v>Grace Ward</v>
      </c>
      <c r="R99" s="25" t="str" cm="1">
        <f t="array" ref="R99">_xlfn.IFS(P99="NA","NA",P99&lt;=2,"Fast",P99&gt;2,"Slow")</f>
        <v>Slow</v>
      </c>
      <c r="S99" s="25" t="str">
        <f>_xlfn.XLOOKUP(C99,'Product Master'!$A$2:$A$23,'Product Master'!$B$2:$B$23)</f>
        <v>Cookware Set Pro</v>
      </c>
    </row>
    <row r="100" spans="1:19" ht="16.8" x14ac:dyDescent="0.4">
      <c r="A100" s="1" t="s">
        <v>193</v>
      </c>
      <c r="B100" s="1" t="s">
        <v>194</v>
      </c>
      <c r="C100" s="1" t="s">
        <v>34</v>
      </c>
      <c r="D100" s="1" t="s">
        <v>33</v>
      </c>
      <c r="E100" s="1">
        <v>43</v>
      </c>
      <c r="F100" s="1">
        <v>5</v>
      </c>
      <c r="G100" s="1">
        <v>215</v>
      </c>
      <c r="H100" s="1" t="s">
        <v>18</v>
      </c>
      <c r="I100" s="1" t="s">
        <v>14</v>
      </c>
      <c r="J100" s="1" t="s">
        <v>25</v>
      </c>
      <c r="K100" s="2">
        <v>44944</v>
      </c>
      <c r="L100" s="2"/>
      <c r="M100" s="2">
        <v>44950</v>
      </c>
      <c r="N100" s="1" t="str">
        <f t="shared" si="2"/>
        <v>yes</v>
      </c>
      <c r="O100" s="25" t="str">
        <f>_xlfn.XLOOKUP(Orders!C100,'Product Master'!$A$2:$A$23,'Product Master'!$C$2:$C$23)</f>
        <v>Fashion</v>
      </c>
      <c r="P100" s="26" t="str">
        <f t="shared" si="3"/>
        <v>NA</v>
      </c>
      <c r="Q100" s="1" t="str">
        <f>_xlfn.XLOOKUP(B100,'Customer Master'!$A$2:$A$50,'Customer Master'!$B$2:$B$50)</f>
        <v>Lily Simmons</v>
      </c>
      <c r="R100" s="25" t="str" cm="1">
        <f t="array" ref="R100">_xlfn.IFS(P100="NA","NA",P100&lt;=2,"Fast",P100&gt;2,"Slow")</f>
        <v>NA</v>
      </c>
      <c r="S100" s="25" t="str">
        <f>_xlfn.XLOOKUP(C100,'Product Master'!$A$2:$A$23,'Product Master'!$B$2:$B$23)</f>
        <v>Formal Shirt</v>
      </c>
    </row>
    <row r="101" spans="1:19" ht="16.8" x14ac:dyDescent="0.4">
      <c r="A101" s="1" t="s">
        <v>195</v>
      </c>
      <c r="B101" s="1" t="s">
        <v>64</v>
      </c>
      <c r="C101" s="1" t="s">
        <v>44</v>
      </c>
      <c r="D101" s="1" t="s">
        <v>33</v>
      </c>
      <c r="E101" s="1">
        <v>42</v>
      </c>
      <c r="F101" s="1">
        <v>4</v>
      </c>
      <c r="G101" s="1">
        <v>168</v>
      </c>
      <c r="H101" s="1" t="s">
        <v>31</v>
      </c>
      <c r="I101" s="1" t="s">
        <v>22</v>
      </c>
      <c r="J101" s="1" t="s">
        <v>15</v>
      </c>
      <c r="K101" s="2">
        <v>45012</v>
      </c>
      <c r="L101" s="2"/>
      <c r="M101" s="2"/>
      <c r="N101" s="1" t="str">
        <f t="shared" si="2"/>
        <v>No</v>
      </c>
      <c r="O101" s="25" t="str">
        <f>_xlfn.XLOOKUP(Orders!C101,'Product Master'!$A$2:$A$23,'Product Master'!$C$2:$C$23)</f>
        <v>Toys</v>
      </c>
      <c r="P101" s="26" t="str">
        <f t="shared" si="3"/>
        <v>NA</v>
      </c>
      <c r="Q101" s="1" t="str">
        <f>_xlfn.XLOOKUP(B101,'Customer Master'!$A$2:$A$50,'Customer Master'!$B$2:$B$50)</f>
        <v>Jackson Allen</v>
      </c>
      <c r="R101" s="25" t="str" cm="1">
        <f t="array" ref="R101">_xlfn.IFS(P101="NA","NA",P101&lt;=2,"Fast",P101&gt;2,"Slow")</f>
        <v>NA</v>
      </c>
      <c r="S101" s="25" t="str">
        <f>_xlfn.XLOOKUP(C101,'Product Master'!$A$2:$A$23,'Product Master'!$B$2:$B$23)</f>
        <v>Action Figure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workbookViewId="0">
      <selection activeCell="H14" sqref="H14"/>
    </sheetView>
  </sheetViews>
  <sheetFormatPr defaultRowHeight="14.4" x14ac:dyDescent="0.3"/>
  <cols>
    <col min="1" max="1" width="9.88671875" bestFit="1" customWidth="1"/>
    <col min="2" max="2" width="16.109375" bestFit="1" customWidth="1"/>
    <col min="3" max="3" width="9.88671875" bestFit="1" customWidth="1"/>
    <col min="4" max="4" width="9.21875" bestFit="1" customWidth="1"/>
    <col min="5" max="5" width="46.6640625" bestFit="1" customWidth="1"/>
  </cols>
  <sheetData>
    <row r="1" spans="1:5" x14ac:dyDescent="0.3">
      <c r="A1" s="3" t="s">
        <v>0</v>
      </c>
      <c r="B1" s="3" t="s">
        <v>53</v>
      </c>
      <c r="C1" s="3" t="s">
        <v>196</v>
      </c>
      <c r="D1" s="4" t="s">
        <v>197</v>
      </c>
      <c r="E1" s="3" t="s">
        <v>198</v>
      </c>
    </row>
    <row r="2" spans="1:5" x14ac:dyDescent="0.3">
      <c r="A2" s="5" t="s">
        <v>43</v>
      </c>
      <c r="B2" s="5" t="s">
        <v>199</v>
      </c>
      <c r="C2" s="5" t="s">
        <v>200</v>
      </c>
      <c r="D2" s="6">
        <v>749</v>
      </c>
      <c r="E2" s="5" t="s">
        <v>201</v>
      </c>
    </row>
    <row r="3" spans="1:5" x14ac:dyDescent="0.3">
      <c r="A3" s="5" t="s">
        <v>44</v>
      </c>
      <c r="B3" s="5" t="s">
        <v>202</v>
      </c>
      <c r="C3" s="5" t="s">
        <v>203</v>
      </c>
      <c r="D3" s="6">
        <v>39</v>
      </c>
      <c r="E3" s="5" t="s">
        <v>204</v>
      </c>
    </row>
    <row r="4" spans="1:5" x14ac:dyDescent="0.3">
      <c r="A4" s="5" t="s">
        <v>35</v>
      </c>
      <c r="B4" s="5" t="s">
        <v>205</v>
      </c>
      <c r="C4" s="5" t="s">
        <v>206</v>
      </c>
      <c r="D4" s="6">
        <v>129</v>
      </c>
      <c r="E4" s="5" t="s">
        <v>207</v>
      </c>
    </row>
    <row r="5" spans="1:5" x14ac:dyDescent="0.3">
      <c r="A5" s="5" t="s">
        <v>50</v>
      </c>
      <c r="B5" s="5" t="s">
        <v>208</v>
      </c>
      <c r="C5" s="5" t="s">
        <v>203</v>
      </c>
      <c r="D5" s="6">
        <v>59</v>
      </c>
      <c r="E5" s="5" t="s">
        <v>209</v>
      </c>
    </row>
    <row r="6" spans="1:5" x14ac:dyDescent="0.3">
      <c r="A6" s="5" t="s">
        <v>40</v>
      </c>
      <c r="B6" s="5" t="s">
        <v>210</v>
      </c>
      <c r="C6" s="5" t="s">
        <v>211</v>
      </c>
      <c r="D6" s="6">
        <v>25</v>
      </c>
      <c r="E6" s="5" t="s">
        <v>212</v>
      </c>
    </row>
    <row r="7" spans="1:5" x14ac:dyDescent="0.3">
      <c r="A7" s="5" t="s">
        <v>38</v>
      </c>
      <c r="B7" s="5" t="s">
        <v>213</v>
      </c>
      <c r="C7" s="5" t="s">
        <v>211</v>
      </c>
      <c r="D7" s="6">
        <v>89</v>
      </c>
      <c r="E7" s="5" t="s">
        <v>214</v>
      </c>
    </row>
    <row r="8" spans="1:5" x14ac:dyDescent="0.3">
      <c r="A8" s="5" t="s">
        <v>49</v>
      </c>
      <c r="B8" s="5" t="s">
        <v>215</v>
      </c>
      <c r="C8" s="5" t="s">
        <v>203</v>
      </c>
      <c r="D8" s="6">
        <v>29</v>
      </c>
      <c r="E8" s="5" t="s">
        <v>216</v>
      </c>
    </row>
    <row r="9" spans="1:5" x14ac:dyDescent="0.3">
      <c r="A9" s="5" t="s">
        <v>42</v>
      </c>
      <c r="B9" s="5" t="s">
        <v>217</v>
      </c>
      <c r="C9" s="5" t="s">
        <v>218</v>
      </c>
      <c r="D9" s="6">
        <v>65</v>
      </c>
      <c r="E9" s="5" t="s">
        <v>219</v>
      </c>
    </row>
    <row r="10" spans="1:5" x14ac:dyDescent="0.3">
      <c r="A10" s="5" t="s">
        <v>46</v>
      </c>
      <c r="B10" s="5" t="s">
        <v>220</v>
      </c>
      <c r="C10" s="5" t="s">
        <v>218</v>
      </c>
      <c r="D10" s="6">
        <v>10</v>
      </c>
      <c r="E10" s="5" t="s">
        <v>221</v>
      </c>
    </row>
    <row r="11" spans="1:5" x14ac:dyDescent="0.3">
      <c r="A11" s="5" t="s">
        <v>26</v>
      </c>
      <c r="B11" s="5" t="s">
        <v>222</v>
      </c>
      <c r="C11" s="5" t="s">
        <v>211</v>
      </c>
      <c r="D11" s="6">
        <v>55</v>
      </c>
      <c r="E11" s="5" t="s">
        <v>223</v>
      </c>
    </row>
    <row r="12" spans="1:5" x14ac:dyDescent="0.3">
      <c r="A12" s="5" t="s">
        <v>47</v>
      </c>
      <c r="B12" s="5" t="s">
        <v>224</v>
      </c>
      <c r="C12" s="5" t="s">
        <v>200</v>
      </c>
      <c r="D12" s="6">
        <v>159</v>
      </c>
      <c r="E12" s="5" t="s">
        <v>225</v>
      </c>
    </row>
    <row r="13" spans="1:5" x14ac:dyDescent="0.3">
      <c r="A13" s="5" t="s">
        <v>11</v>
      </c>
      <c r="B13" s="5" t="s">
        <v>226</v>
      </c>
      <c r="C13" s="5" t="s">
        <v>206</v>
      </c>
      <c r="D13" s="6">
        <v>42</v>
      </c>
      <c r="E13" s="5" t="s">
        <v>227</v>
      </c>
    </row>
    <row r="14" spans="1:5" x14ac:dyDescent="0.3">
      <c r="A14" s="5" t="s">
        <v>20</v>
      </c>
      <c r="B14" s="5" t="s">
        <v>228</v>
      </c>
      <c r="C14" s="5" t="s">
        <v>206</v>
      </c>
      <c r="D14" s="6">
        <v>185</v>
      </c>
      <c r="E14" s="5" t="s">
        <v>229</v>
      </c>
    </row>
    <row r="15" spans="1:5" x14ac:dyDescent="0.3">
      <c r="A15" s="5" t="s">
        <v>36</v>
      </c>
      <c r="B15" s="5" t="s">
        <v>230</v>
      </c>
      <c r="C15" s="5" t="s">
        <v>200</v>
      </c>
      <c r="D15" s="6">
        <v>229</v>
      </c>
      <c r="E15" s="5" t="s">
        <v>231</v>
      </c>
    </row>
    <row r="16" spans="1:5" x14ac:dyDescent="0.3">
      <c r="A16" s="5" t="s">
        <v>41</v>
      </c>
      <c r="B16" s="5" t="s">
        <v>232</v>
      </c>
      <c r="C16" s="5" t="s">
        <v>218</v>
      </c>
      <c r="D16" s="6">
        <v>20</v>
      </c>
      <c r="E16" s="5" t="s">
        <v>233</v>
      </c>
    </row>
    <row r="17" spans="1:5" x14ac:dyDescent="0.3">
      <c r="A17" s="5" t="s">
        <v>48</v>
      </c>
      <c r="B17" s="5" t="s">
        <v>234</v>
      </c>
      <c r="C17" s="5" t="s">
        <v>206</v>
      </c>
      <c r="D17" s="6">
        <v>199</v>
      </c>
      <c r="E17" s="5" t="s">
        <v>235</v>
      </c>
    </row>
    <row r="18" spans="1:5" x14ac:dyDescent="0.3">
      <c r="A18" s="5" t="s">
        <v>39</v>
      </c>
      <c r="B18" s="5" t="s">
        <v>236</v>
      </c>
      <c r="C18" s="5" t="s">
        <v>200</v>
      </c>
      <c r="D18" s="6">
        <v>69</v>
      </c>
      <c r="E18" s="5" t="s">
        <v>237</v>
      </c>
    </row>
    <row r="19" spans="1:5" x14ac:dyDescent="0.3">
      <c r="A19" s="5" t="s">
        <v>16</v>
      </c>
      <c r="B19" s="5" t="s">
        <v>238</v>
      </c>
      <c r="C19" s="5" t="s">
        <v>203</v>
      </c>
      <c r="D19" s="6">
        <v>89</v>
      </c>
      <c r="E19" s="5" t="s">
        <v>239</v>
      </c>
    </row>
    <row r="20" spans="1:5" x14ac:dyDescent="0.3">
      <c r="A20" s="5" t="s">
        <v>34</v>
      </c>
      <c r="B20" s="5" t="s">
        <v>240</v>
      </c>
      <c r="C20" s="5" t="s">
        <v>211</v>
      </c>
      <c r="D20" s="6">
        <v>40</v>
      </c>
      <c r="E20" s="5" t="s">
        <v>241</v>
      </c>
    </row>
    <row r="21" spans="1:5" x14ac:dyDescent="0.3">
      <c r="A21" s="5" t="s">
        <v>29</v>
      </c>
      <c r="B21" s="5" t="s">
        <v>242</v>
      </c>
      <c r="C21" s="5" t="s">
        <v>200</v>
      </c>
      <c r="D21" s="6">
        <v>99</v>
      </c>
      <c r="E21" s="5" t="s">
        <v>243</v>
      </c>
    </row>
    <row r="22" spans="1:5" x14ac:dyDescent="0.3">
      <c r="A22" s="5" t="s">
        <v>32</v>
      </c>
      <c r="B22" s="5" t="s">
        <v>244</v>
      </c>
      <c r="C22" s="5" t="s">
        <v>206</v>
      </c>
      <c r="D22" s="6">
        <v>34</v>
      </c>
      <c r="E22" s="5" t="s">
        <v>245</v>
      </c>
    </row>
    <row r="23" spans="1:5" x14ac:dyDescent="0.3">
      <c r="A23" s="5" t="s">
        <v>45</v>
      </c>
      <c r="B23" s="5" t="s">
        <v>246</v>
      </c>
      <c r="C23" s="5" t="s">
        <v>211</v>
      </c>
      <c r="D23" s="6">
        <v>60</v>
      </c>
      <c r="E23" s="5" t="s">
        <v>247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O1" sqref="O1"/>
    </sheetView>
  </sheetViews>
  <sheetFormatPr defaultRowHeight="14.4" x14ac:dyDescent="0.3"/>
  <cols>
    <col min="1" max="1" width="6.88671875" bestFit="1" customWidth="1"/>
    <col min="2" max="2" width="11" bestFit="1" customWidth="1"/>
  </cols>
  <sheetData>
    <row r="1" spans="1:2" x14ac:dyDescent="0.3">
      <c r="A1" s="3" t="s">
        <v>1</v>
      </c>
      <c r="B1" s="3" t="s">
        <v>248</v>
      </c>
    </row>
    <row r="2" spans="1:2" x14ac:dyDescent="0.3">
      <c r="A2" s="5" t="s">
        <v>30</v>
      </c>
      <c r="B2" s="7">
        <v>97500</v>
      </c>
    </row>
    <row r="3" spans="1:2" x14ac:dyDescent="0.3">
      <c r="A3" s="5" t="s">
        <v>17</v>
      </c>
      <c r="B3" s="7">
        <v>50500</v>
      </c>
    </row>
    <row r="4" spans="1:2" x14ac:dyDescent="0.3">
      <c r="A4" s="5" t="s">
        <v>12</v>
      </c>
      <c r="B4" s="7">
        <v>105000</v>
      </c>
    </row>
    <row r="5" spans="1:2" x14ac:dyDescent="0.3">
      <c r="A5" s="5" t="s">
        <v>21</v>
      </c>
      <c r="B5" s="7">
        <v>91500</v>
      </c>
    </row>
    <row r="6" spans="1:2" x14ac:dyDescent="0.3">
      <c r="A6" s="5" t="s">
        <v>33</v>
      </c>
      <c r="B6" s="7">
        <v>90750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workbookViewId="0">
      <selection activeCell="I12" sqref="I12"/>
    </sheetView>
  </sheetViews>
  <sheetFormatPr defaultRowHeight="14.4" x14ac:dyDescent="0.3"/>
  <cols>
    <col min="1" max="1" width="11.33203125" bestFit="1" customWidth="1"/>
    <col min="2" max="2" width="14.6640625" bestFit="1" customWidth="1"/>
    <col min="3" max="3" width="13.77734375" bestFit="1" customWidth="1"/>
    <col min="4" max="4" width="12" bestFit="1" customWidth="1"/>
    <col min="5" max="5" width="10.6640625" bestFit="1" customWidth="1"/>
  </cols>
  <sheetData>
    <row r="1" spans="1:5" x14ac:dyDescent="0.3">
      <c r="A1" s="3" t="s">
        <v>52</v>
      </c>
      <c r="B1" s="3" t="s">
        <v>249</v>
      </c>
      <c r="C1" s="3" t="s">
        <v>250</v>
      </c>
      <c r="D1" s="3" t="s">
        <v>251</v>
      </c>
      <c r="E1" s="3" t="s">
        <v>252</v>
      </c>
    </row>
    <row r="2" spans="1:5" x14ac:dyDescent="0.3">
      <c r="A2" s="5" t="s">
        <v>122</v>
      </c>
      <c r="B2" s="5" t="s">
        <v>253</v>
      </c>
      <c r="C2" s="5" t="s">
        <v>254</v>
      </c>
      <c r="D2" s="5" t="s">
        <v>255</v>
      </c>
      <c r="E2" s="5" t="s">
        <v>255</v>
      </c>
    </row>
    <row r="3" spans="1:5" x14ac:dyDescent="0.3">
      <c r="A3" s="5" t="s">
        <v>256</v>
      </c>
      <c r="B3" s="5" t="s">
        <v>257</v>
      </c>
      <c r="C3" s="5" t="s">
        <v>258</v>
      </c>
      <c r="D3" s="5" t="s">
        <v>259</v>
      </c>
      <c r="E3" s="5" t="s">
        <v>260</v>
      </c>
    </row>
    <row r="4" spans="1:5" x14ac:dyDescent="0.3">
      <c r="A4" s="5" t="s">
        <v>144</v>
      </c>
      <c r="B4" s="5" t="s">
        <v>261</v>
      </c>
      <c r="C4" s="5" t="s">
        <v>258</v>
      </c>
      <c r="D4" s="5" t="s">
        <v>262</v>
      </c>
      <c r="E4" s="5" t="s">
        <v>263</v>
      </c>
    </row>
    <row r="5" spans="1:5" x14ac:dyDescent="0.3">
      <c r="A5" s="5" t="s">
        <v>151</v>
      </c>
      <c r="B5" s="5" t="s">
        <v>264</v>
      </c>
      <c r="C5" s="5" t="s">
        <v>258</v>
      </c>
      <c r="D5" s="5" t="s">
        <v>265</v>
      </c>
      <c r="E5" s="5" t="s">
        <v>266</v>
      </c>
    </row>
    <row r="6" spans="1:5" x14ac:dyDescent="0.3">
      <c r="A6" s="5" t="s">
        <v>267</v>
      </c>
      <c r="B6" s="5" t="s">
        <v>268</v>
      </c>
      <c r="C6" s="5" t="s">
        <v>258</v>
      </c>
      <c r="D6" s="5" t="s">
        <v>259</v>
      </c>
      <c r="E6" s="5" t="s">
        <v>260</v>
      </c>
    </row>
    <row r="7" spans="1:5" x14ac:dyDescent="0.3">
      <c r="A7" s="5" t="s">
        <v>120</v>
      </c>
      <c r="B7" s="5" t="s">
        <v>269</v>
      </c>
      <c r="C7" s="5" t="s">
        <v>258</v>
      </c>
      <c r="D7" s="5" t="s">
        <v>270</v>
      </c>
      <c r="E7" s="5" t="s">
        <v>271</v>
      </c>
    </row>
    <row r="8" spans="1:5" x14ac:dyDescent="0.3">
      <c r="A8" s="5" t="s">
        <v>103</v>
      </c>
      <c r="B8" s="5" t="s">
        <v>272</v>
      </c>
      <c r="C8" s="5" t="s">
        <v>258</v>
      </c>
      <c r="D8" s="5" t="s">
        <v>265</v>
      </c>
      <c r="E8" s="5" t="s">
        <v>266</v>
      </c>
    </row>
    <row r="9" spans="1:5" x14ac:dyDescent="0.3">
      <c r="A9" s="5" t="s">
        <v>105</v>
      </c>
      <c r="B9" s="5" t="s">
        <v>273</v>
      </c>
      <c r="C9" s="5" t="s">
        <v>254</v>
      </c>
      <c r="D9" s="5" t="s">
        <v>274</v>
      </c>
      <c r="E9" s="5" t="s">
        <v>263</v>
      </c>
    </row>
    <row r="10" spans="1:5" x14ac:dyDescent="0.3">
      <c r="A10" s="5" t="s">
        <v>64</v>
      </c>
      <c r="B10" s="5" t="s">
        <v>275</v>
      </c>
      <c r="C10" s="5" t="s">
        <v>254</v>
      </c>
      <c r="D10" s="5" t="s">
        <v>259</v>
      </c>
      <c r="E10" s="5" t="s">
        <v>260</v>
      </c>
    </row>
    <row r="11" spans="1:5" x14ac:dyDescent="0.3">
      <c r="A11" s="5" t="s">
        <v>276</v>
      </c>
      <c r="B11" s="5" t="s">
        <v>277</v>
      </c>
      <c r="C11" s="5" t="s">
        <v>258</v>
      </c>
      <c r="D11" s="5" t="s">
        <v>270</v>
      </c>
      <c r="E11" s="5" t="s">
        <v>271</v>
      </c>
    </row>
    <row r="12" spans="1:5" x14ac:dyDescent="0.3">
      <c r="A12" s="5" t="s">
        <v>85</v>
      </c>
      <c r="B12" s="5" t="s">
        <v>278</v>
      </c>
      <c r="C12" s="5" t="s">
        <v>254</v>
      </c>
      <c r="D12" s="5" t="s">
        <v>279</v>
      </c>
      <c r="E12" s="5" t="s">
        <v>280</v>
      </c>
    </row>
    <row r="13" spans="1:5" x14ac:dyDescent="0.3">
      <c r="A13" s="5" t="s">
        <v>281</v>
      </c>
      <c r="B13" s="5" t="s">
        <v>253</v>
      </c>
      <c r="C13" s="5" t="s">
        <v>282</v>
      </c>
      <c r="D13" s="5" t="s">
        <v>283</v>
      </c>
      <c r="E13" s="5" t="s">
        <v>284</v>
      </c>
    </row>
    <row r="14" spans="1:5" x14ac:dyDescent="0.3">
      <c r="A14" s="5" t="s">
        <v>70</v>
      </c>
      <c r="B14" s="5" t="s">
        <v>268</v>
      </c>
      <c r="C14" s="5" t="s">
        <v>258</v>
      </c>
      <c r="D14" s="5" t="s">
        <v>259</v>
      </c>
      <c r="E14" s="5" t="s">
        <v>260</v>
      </c>
    </row>
    <row r="15" spans="1:5" x14ac:dyDescent="0.3">
      <c r="A15" s="5" t="s">
        <v>107</v>
      </c>
      <c r="B15" s="5" t="s">
        <v>273</v>
      </c>
      <c r="C15" s="5" t="s">
        <v>282</v>
      </c>
      <c r="D15" s="5" t="s">
        <v>270</v>
      </c>
      <c r="E15" s="5" t="s">
        <v>271</v>
      </c>
    </row>
    <row r="16" spans="1:5" x14ac:dyDescent="0.3">
      <c r="A16" s="5" t="s">
        <v>175</v>
      </c>
      <c r="B16" s="5" t="s">
        <v>285</v>
      </c>
      <c r="C16" s="5" t="s">
        <v>282</v>
      </c>
      <c r="D16" s="5" t="s">
        <v>283</v>
      </c>
      <c r="E16" s="5" t="s">
        <v>284</v>
      </c>
    </row>
    <row r="17" spans="1:5" x14ac:dyDescent="0.3">
      <c r="A17" s="5" t="s">
        <v>93</v>
      </c>
      <c r="B17" s="5" t="s">
        <v>286</v>
      </c>
      <c r="C17" s="5" t="s">
        <v>258</v>
      </c>
      <c r="D17" s="5" t="s">
        <v>283</v>
      </c>
      <c r="E17" s="5" t="s">
        <v>284</v>
      </c>
    </row>
    <row r="18" spans="1:5" x14ac:dyDescent="0.3">
      <c r="A18" s="5" t="s">
        <v>140</v>
      </c>
      <c r="B18" s="5" t="s">
        <v>287</v>
      </c>
      <c r="C18" s="5" t="s">
        <v>254</v>
      </c>
      <c r="D18" s="5" t="s">
        <v>262</v>
      </c>
      <c r="E18" s="5" t="s">
        <v>263</v>
      </c>
    </row>
    <row r="19" spans="1:5" x14ac:dyDescent="0.3">
      <c r="A19" s="5" t="s">
        <v>100</v>
      </c>
      <c r="B19" s="5" t="s">
        <v>288</v>
      </c>
      <c r="C19" s="5" t="s">
        <v>282</v>
      </c>
      <c r="D19" s="5" t="s">
        <v>279</v>
      </c>
      <c r="E19" s="5" t="s">
        <v>280</v>
      </c>
    </row>
    <row r="20" spans="1:5" x14ac:dyDescent="0.3">
      <c r="A20" s="5" t="s">
        <v>68</v>
      </c>
      <c r="B20" s="5" t="s">
        <v>269</v>
      </c>
      <c r="C20" s="5" t="s">
        <v>258</v>
      </c>
      <c r="D20" s="5" t="s">
        <v>259</v>
      </c>
      <c r="E20" s="5" t="s">
        <v>260</v>
      </c>
    </row>
    <row r="21" spans="1:5" x14ac:dyDescent="0.3">
      <c r="A21" s="5" t="s">
        <v>289</v>
      </c>
      <c r="B21" s="5" t="s">
        <v>290</v>
      </c>
      <c r="C21" s="5" t="s">
        <v>282</v>
      </c>
      <c r="D21" s="5" t="s">
        <v>270</v>
      </c>
      <c r="E21" s="5" t="s">
        <v>271</v>
      </c>
    </row>
    <row r="22" spans="1:5" x14ac:dyDescent="0.3">
      <c r="A22" s="5" t="s">
        <v>55</v>
      </c>
      <c r="B22" s="5" t="s">
        <v>291</v>
      </c>
      <c r="C22" s="5" t="s">
        <v>282</v>
      </c>
      <c r="D22" s="5" t="s">
        <v>262</v>
      </c>
      <c r="E22" s="5" t="s">
        <v>263</v>
      </c>
    </row>
    <row r="23" spans="1:5" x14ac:dyDescent="0.3">
      <c r="A23" s="5" t="s">
        <v>149</v>
      </c>
      <c r="B23" s="5" t="s">
        <v>286</v>
      </c>
      <c r="C23" s="5" t="s">
        <v>282</v>
      </c>
      <c r="D23" s="5" t="s">
        <v>279</v>
      </c>
      <c r="E23" s="5" t="s">
        <v>280</v>
      </c>
    </row>
    <row r="24" spans="1:5" x14ac:dyDescent="0.3">
      <c r="A24" s="5" t="s">
        <v>77</v>
      </c>
      <c r="B24" s="5" t="s">
        <v>292</v>
      </c>
      <c r="C24" s="5" t="s">
        <v>282</v>
      </c>
      <c r="D24" s="5" t="s">
        <v>262</v>
      </c>
      <c r="E24" s="5" t="s">
        <v>263</v>
      </c>
    </row>
    <row r="25" spans="1:5" x14ac:dyDescent="0.3">
      <c r="A25" s="5" t="s">
        <v>118</v>
      </c>
      <c r="B25" s="5" t="s">
        <v>293</v>
      </c>
      <c r="C25" s="5" t="s">
        <v>254</v>
      </c>
      <c r="D25" s="5" t="s">
        <v>279</v>
      </c>
      <c r="E25" s="5" t="s">
        <v>280</v>
      </c>
    </row>
    <row r="26" spans="1:5" x14ac:dyDescent="0.3">
      <c r="A26" s="5" t="s">
        <v>89</v>
      </c>
      <c r="B26" s="5" t="s">
        <v>287</v>
      </c>
      <c r="C26" s="5" t="s">
        <v>282</v>
      </c>
      <c r="D26" s="5" t="s">
        <v>279</v>
      </c>
      <c r="E26" s="5" t="s">
        <v>280</v>
      </c>
    </row>
    <row r="27" spans="1:5" x14ac:dyDescent="0.3">
      <c r="A27" s="5" t="s">
        <v>132</v>
      </c>
      <c r="B27" s="5" t="s">
        <v>291</v>
      </c>
      <c r="C27" s="5" t="s">
        <v>282</v>
      </c>
      <c r="D27" s="5" t="s">
        <v>259</v>
      </c>
      <c r="E27" s="5" t="s">
        <v>260</v>
      </c>
    </row>
    <row r="28" spans="1:5" x14ac:dyDescent="0.3">
      <c r="A28" s="5" t="s">
        <v>62</v>
      </c>
      <c r="B28" s="5" t="s">
        <v>294</v>
      </c>
      <c r="C28" s="5" t="s">
        <v>282</v>
      </c>
      <c r="D28" s="5" t="s">
        <v>259</v>
      </c>
      <c r="E28" s="5" t="s">
        <v>260</v>
      </c>
    </row>
    <row r="29" spans="1:5" x14ac:dyDescent="0.3">
      <c r="A29" s="5" t="s">
        <v>95</v>
      </c>
      <c r="B29" s="5" t="s">
        <v>295</v>
      </c>
      <c r="C29" s="5" t="s">
        <v>254</v>
      </c>
      <c r="D29" s="5" t="s">
        <v>262</v>
      </c>
      <c r="E29" s="5" t="s">
        <v>263</v>
      </c>
    </row>
    <row r="30" spans="1:5" x14ac:dyDescent="0.3">
      <c r="A30" s="5" t="s">
        <v>57</v>
      </c>
      <c r="B30" s="5" t="s">
        <v>285</v>
      </c>
      <c r="C30" s="5" t="s">
        <v>282</v>
      </c>
      <c r="D30" s="5" t="s">
        <v>279</v>
      </c>
      <c r="E30" s="5" t="s">
        <v>280</v>
      </c>
    </row>
    <row r="31" spans="1:5" x14ac:dyDescent="0.3">
      <c r="A31" s="5" t="s">
        <v>296</v>
      </c>
      <c r="B31" s="5" t="s">
        <v>287</v>
      </c>
      <c r="C31" s="5" t="s">
        <v>282</v>
      </c>
      <c r="D31" s="5" t="s">
        <v>259</v>
      </c>
      <c r="E31" s="5" t="s">
        <v>260</v>
      </c>
    </row>
    <row r="32" spans="1:5" x14ac:dyDescent="0.3">
      <c r="A32" s="5" t="s">
        <v>184</v>
      </c>
      <c r="B32" s="5" t="s">
        <v>297</v>
      </c>
      <c r="C32" s="5" t="s">
        <v>254</v>
      </c>
      <c r="D32" s="5" t="s">
        <v>259</v>
      </c>
      <c r="E32" s="5" t="s">
        <v>260</v>
      </c>
    </row>
    <row r="33" spans="1:5" x14ac:dyDescent="0.3">
      <c r="A33" s="5" t="s">
        <v>113</v>
      </c>
      <c r="B33" s="5" t="s">
        <v>298</v>
      </c>
      <c r="C33" s="5" t="s">
        <v>254</v>
      </c>
      <c r="D33" s="5" t="s">
        <v>262</v>
      </c>
      <c r="E33" s="5" t="s">
        <v>263</v>
      </c>
    </row>
    <row r="34" spans="1:5" x14ac:dyDescent="0.3">
      <c r="A34" s="5" t="s">
        <v>79</v>
      </c>
      <c r="B34" s="5" t="s">
        <v>299</v>
      </c>
      <c r="C34" s="5" t="s">
        <v>254</v>
      </c>
      <c r="D34" s="5" t="s">
        <v>283</v>
      </c>
      <c r="E34" s="5" t="s">
        <v>284</v>
      </c>
    </row>
    <row r="35" spans="1:5" x14ac:dyDescent="0.3">
      <c r="A35" s="5" t="s">
        <v>194</v>
      </c>
      <c r="B35" s="5" t="s">
        <v>300</v>
      </c>
      <c r="C35" s="5" t="s">
        <v>282</v>
      </c>
      <c r="D35" s="5" t="s">
        <v>283</v>
      </c>
      <c r="E35" s="5" t="s">
        <v>284</v>
      </c>
    </row>
    <row r="36" spans="1:5" x14ac:dyDescent="0.3">
      <c r="A36" s="5" t="s">
        <v>147</v>
      </c>
      <c r="B36" s="5" t="s">
        <v>301</v>
      </c>
      <c r="C36" s="5" t="s">
        <v>254</v>
      </c>
      <c r="D36" s="5" t="s">
        <v>279</v>
      </c>
      <c r="E36" s="5" t="s">
        <v>280</v>
      </c>
    </row>
    <row r="37" spans="1:5" x14ac:dyDescent="0.3">
      <c r="A37" s="5" t="s">
        <v>187</v>
      </c>
      <c r="B37" s="5" t="s">
        <v>261</v>
      </c>
      <c r="C37" s="5" t="s">
        <v>254</v>
      </c>
      <c r="D37" s="5" t="s">
        <v>270</v>
      </c>
      <c r="E37" s="5" t="s">
        <v>271</v>
      </c>
    </row>
    <row r="38" spans="1:5" x14ac:dyDescent="0.3">
      <c r="A38" s="5" t="s">
        <v>109</v>
      </c>
      <c r="B38" s="5" t="s">
        <v>257</v>
      </c>
      <c r="C38" s="5" t="s">
        <v>282</v>
      </c>
      <c r="D38" s="5" t="s">
        <v>279</v>
      </c>
      <c r="E38" s="5" t="s">
        <v>280</v>
      </c>
    </row>
    <row r="39" spans="1:5" x14ac:dyDescent="0.3">
      <c r="A39" s="5" t="s">
        <v>302</v>
      </c>
      <c r="B39" s="5" t="s">
        <v>303</v>
      </c>
      <c r="C39" s="5" t="s">
        <v>254</v>
      </c>
      <c r="D39" s="5" t="s">
        <v>262</v>
      </c>
      <c r="E39" s="5" t="s">
        <v>263</v>
      </c>
    </row>
    <row r="40" spans="1:5" x14ac:dyDescent="0.3">
      <c r="A40" s="5" t="s">
        <v>128</v>
      </c>
      <c r="B40" s="5" t="s">
        <v>304</v>
      </c>
      <c r="C40" s="5" t="s">
        <v>282</v>
      </c>
      <c r="D40" s="5" t="s">
        <v>262</v>
      </c>
      <c r="E40" s="5" t="s">
        <v>263</v>
      </c>
    </row>
    <row r="41" spans="1:5" x14ac:dyDescent="0.3">
      <c r="A41" s="5" t="s">
        <v>97</v>
      </c>
      <c r="B41" s="5" t="s">
        <v>305</v>
      </c>
      <c r="C41" s="5" t="s">
        <v>258</v>
      </c>
      <c r="D41" s="5" t="s">
        <v>262</v>
      </c>
      <c r="E41" s="5" t="s">
        <v>263</v>
      </c>
    </row>
    <row r="42" spans="1:5" x14ac:dyDescent="0.3">
      <c r="A42" s="5" t="s">
        <v>87</v>
      </c>
      <c r="B42" s="5" t="s">
        <v>306</v>
      </c>
      <c r="C42" s="5" t="s">
        <v>254</v>
      </c>
      <c r="D42" s="5" t="s">
        <v>262</v>
      </c>
      <c r="E42" s="5" t="s">
        <v>263</v>
      </c>
    </row>
    <row r="43" spans="1:5" x14ac:dyDescent="0.3">
      <c r="A43" s="5" t="s">
        <v>66</v>
      </c>
      <c r="B43" s="5" t="s">
        <v>264</v>
      </c>
      <c r="C43" s="5" t="s">
        <v>258</v>
      </c>
      <c r="D43" s="5" t="s">
        <v>262</v>
      </c>
      <c r="E43" s="5" t="s">
        <v>263</v>
      </c>
    </row>
    <row r="44" spans="1:5" x14ac:dyDescent="0.3">
      <c r="A44" s="5" t="s">
        <v>179</v>
      </c>
      <c r="B44" s="5" t="s">
        <v>307</v>
      </c>
      <c r="C44" s="5" t="s">
        <v>282</v>
      </c>
      <c r="D44" s="5" t="s">
        <v>259</v>
      </c>
      <c r="E44" s="5" t="s">
        <v>260</v>
      </c>
    </row>
    <row r="45" spans="1:5" x14ac:dyDescent="0.3">
      <c r="A45" s="5" t="s">
        <v>60</v>
      </c>
      <c r="B45" s="5" t="s">
        <v>308</v>
      </c>
      <c r="C45" s="5" t="s">
        <v>254</v>
      </c>
      <c r="D45" s="5" t="s">
        <v>283</v>
      </c>
      <c r="E45" s="5" t="s">
        <v>284</v>
      </c>
    </row>
    <row r="46" spans="1:5" x14ac:dyDescent="0.3">
      <c r="A46" s="5" t="s">
        <v>75</v>
      </c>
      <c r="B46" s="5" t="s">
        <v>257</v>
      </c>
      <c r="C46" s="5" t="s">
        <v>282</v>
      </c>
      <c r="D46" s="5" t="s">
        <v>262</v>
      </c>
      <c r="E46" s="5" t="s">
        <v>263</v>
      </c>
    </row>
    <row r="47" spans="1:5" x14ac:dyDescent="0.3">
      <c r="A47" s="5" t="s">
        <v>73</v>
      </c>
      <c r="B47" s="5" t="s">
        <v>257</v>
      </c>
      <c r="C47" s="5" t="s">
        <v>258</v>
      </c>
      <c r="D47" s="5" t="s">
        <v>270</v>
      </c>
      <c r="E47" s="5" t="s">
        <v>271</v>
      </c>
    </row>
    <row r="48" spans="1:5" x14ac:dyDescent="0.3">
      <c r="A48" s="5" t="s">
        <v>82</v>
      </c>
      <c r="B48" s="5" t="s">
        <v>293</v>
      </c>
      <c r="C48" s="5" t="s">
        <v>282</v>
      </c>
      <c r="D48" s="5" t="s">
        <v>270</v>
      </c>
      <c r="E48" s="5" t="s">
        <v>271</v>
      </c>
    </row>
    <row r="49" spans="1:5" x14ac:dyDescent="0.3">
      <c r="A49" s="5" t="s">
        <v>153</v>
      </c>
      <c r="B49" s="5" t="s">
        <v>264</v>
      </c>
      <c r="C49" s="5" t="s">
        <v>254</v>
      </c>
      <c r="D49" s="5" t="s">
        <v>270</v>
      </c>
      <c r="E49" s="5" t="s">
        <v>271</v>
      </c>
    </row>
    <row r="50" spans="1:5" x14ac:dyDescent="0.3">
      <c r="A50" s="5" t="s">
        <v>309</v>
      </c>
      <c r="B50" s="5" t="s">
        <v>310</v>
      </c>
      <c r="C50" s="5" t="s">
        <v>254</v>
      </c>
      <c r="D50" s="5" t="s">
        <v>270</v>
      </c>
      <c r="E50" s="5" t="s">
        <v>271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222A2-47A9-4700-A565-8387FA079BBB}">
  <dimension ref="B2:H9"/>
  <sheetViews>
    <sheetView workbookViewId="0">
      <selection activeCell="O19" sqref="O19"/>
    </sheetView>
  </sheetViews>
  <sheetFormatPr defaultRowHeight="14.4" x14ac:dyDescent="0.3"/>
  <cols>
    <col min="2" max="2" width="12.5546875" bestFit="1" customWidth="1"/>
    <col min="3" max="3" width="19.21875" bestFit="1" customWidth="1"/>
    <col min="4" max="4" width="11.6640625" bestFit="1" customWidth="1"/>
    <col min="5" max="5" width="11.33203125" bestFit="1" customWidth="1"/>
  </cols>
  <sheetData>
    <row r="2" spans="2:8" x14ac:dyDescent="0.3">
      <c r="B2" s="27" t="s">
        <v>329</v>
      </c>
      <c r="C2" s="27"/>
    </row>
    <row r="3" spans="2:8" x14ac:dyDescent="0.3">
      <c r="B3" s="11" t="s">
        <v>314</v>
      </c>
      <c r="C3" t="s">
        <v>316</v>
      </c>
      <c r="D3" t="s">
        <v>360</v>
      </c>
      <c r="E3" t="s">
        <v>361</v>
      </c>
    </row>
    <row r="4" spans="2:8" x14ac:dyDescent="0.3">
      <c r="B4" s="12" t="s">
        <v>30</v>
      </c>
      <c r="C4" s="34">
        <v>5456</v>
      </c>
      <c r="D4" s="34" t="e">
        <v>#N/A</v>
      </c>
      <c r="E4" s="34">
        <v>5456</v>
      </c>
      <c r="H4" s="12"/>
    </row>
    <row r="5" spans="2:8" x14ac:dyDescent="0.3">
      <c r="B5" s="12" t="s">
        <v>17</v>
      </c>
      <c r="C5" s="34">
        <v>3635</v>
      </c>
      <c r="D5" s="34" t="e">
        <v>#N/A</v>
      </c>
      <c r="E5" s="34">
        <v>3635</v>
      </c>
      <c r="H5" s="12"/>
    </row>
    <row r="6" spans="2:8" x14ac:dyDescent="0.3">
      <c r="B6" s="12" t="s">
        <v>12</v>
      </c>
      <c r="C6" s="34">
        <v>10491</v>
      </c>
      <c r="D6" s="34">
        <v>10491</v>
      </c>
      <c r="E6" s="34" t="e">
        <v>#N/A</v>
      </c>
      <c r="H6" s="12"/>
    </row>
    <row r="7" spans="2:8" x14ac:dyDescent="0.3">
      <c r="B7" s="12" t="s">
        <v>21</v>
      </c>
      <c r="C7" s="34">
        <v>7317</v>
      </c>
      <c r="D7" s="34">
        <v>7317</v>
      </c>
      <c r="E7" s="34" t="e">
        <v>#N/A</v>
      </c>
      <c r="H7" s="12"/>
    </row>
    <row r="8" spans="2:8" x14ac:dyDescent="0.3">
      <c r="B8" s="12" t="s">
        <v>33</v>
      </c>
      <c r="C8" s="34">
        <v>8359</v>
      </c>
      <c r="D8" s="34">
        <v>8359</v>
      </c>
      <c r="E8" s="34" t="e">
        <v>#N/A</v>
      </c>
      <c r="H8" s="12"/>
    </row>
    <row r="9" spans="2:8" x14ac:dyDescent="0.3">
      <c r="B9" s="12" t="s">
        <v>315</v>
      </c>
      <c r="C9" s="34">
        <v>35258</v>
      </c>
      <c r="D9" s="34">
        <v>35258</v>
      </c>
      <c r="E9" s="34" t="e">
        <v>#N/A</v>
      </c>
    </row>
  </sheetData>
  <mergeCells count="1">
    <mergeCell ref="B2:C2"/>
  </mergeCells>
  <conditionalFormatting pivot="1" sqref="C4:C8">
    <cfRule type="colorScale" priority="2">
      <colorScale>
        <cfvo type="min"/>
        <cfvo type="percentile" val="50"/>
        <cfvo type="max"/>
        <color rgb="FFF8696B"/>
        <color rgb="FFFFEB84"/>
        <color rgb="FF63BE7B"/>
      </colorScale>
    </cfRule>
  </conditionalFormatting>
  <conditionalFormatting sqref="I4:I8">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EDCC-2ED4-4C0D-9A14-E7856E03C9BD}">
  <dimension ref="B4:H11"/>
  <sheetViews>
    <sheetView workbookViewId="0">
      <selection activeCell="D8" sqref="D8"/>
    </sheetView>
  </sheetViews>
  <sheetFormatPr defaultRowHeight="14.4" x14ac:dyDescent="0.3"/>
  <cols>
    <col min="1" max="1" width="5.6640625" customWidth="1"/>
    <col min="2" max="2" width="12.5546875" bestFit="1" customWidth="1"/>
    <col min="3" max="3" width="11.6640625" bestFit="1" customWidth="1"/>
    <col min="4" max="5" width="10.88671875" bestFit="1" customWidth="1"/>
    <col min="6" max="6" width="5" bestFit="1" customWidth="1"/>
    <col min="8" max="8" width="10.88671875" bestFit="1" customWidth="1"/>
    <col min="9" max="9" width="5" bestFit="1" customWidth="1"/>
  </cols>
  <sheetData>
    <row r="4" spans="2:8" x14ac:dyDescent="0.3">
      <c r="B4" s="27" t="s">
        <v>330</v>
      </c>
      <c r="C4" s="27"/>
    </row>
    <row r="5" spans="2:8" x14ac:dyDescent="0.3">
      <c r="B5" s="11" t="s">
        <v>314</v>
      </c>
      <c r="C5" t="s">
        <v>358</v>
      </c>
      <c r="D5" t="s">
        <v>359</v>
      </c>
      <c r="H5" s="12"/>
    </row>
    <row r="6" spans="2:8" x14ac:dyDescent="0.3">
      <c r="B6" s="12" t="s">
        <v>28</v>
      </c>
      <c r="C6" s="34" t="e">
        <v>#N/A</v>
      </c>
      <c r="D6" s="34">
        <v>4719</v>
      </c>
      <c r="H6" s="12"/>
    </row>
    <row r="7" spans="2:8" x14ac:dyDescent="0.3">
      <c r="B7" s="12" t="s">
        <v>13</v>
      </c>
      <c r="C7" s="34" t="e">
        <v>#N/A</v>
      </c>
      <c r="D7" s="34">
        <v>6144</v>
      </c>
      <c r="H7" s="12"/>
    </row>
    <row r="8" spans="2:8" x14ac:dyDescent="0.3">
      <c r="B8" s="12" t="s">
        <v>18</v>
      </c>
      <c r="C8" s="34">
        <v>9398</v>
      </c>
      <c r="D8" s="34" t="e">
        <v>#N/A</v>
      </c>
      <c r="H8" s="12"/>
    </row>
    <row r="9" spans="2:8" x14ac:dyDescent="0.3">
      <c r="B9" s="12" t="s">
        <v>31</v>
      </c>
      <c r="C9" s="34">
        <v>8348</v>
      </c>
      <c r="D9" s="34" t="e">
        <v>#N/A</v>
      </c>
      <c r="H9" s="12"/>
    </row>
    <row r="10" spans="2:8" x14ac:dyDescent="0.3">
      <c r="B10" s="12" t="s">
        <v>24</v>
      </c>
      <c r="C10" s="34">
        <v>6649</v>
      </c>
      <c r="D10" s="34" t="e">
        <v>#N/A</v>
      </c>
    </row>
    <row r="11" spans="2:8" x14ac:dyDescent="0.3">
      <c r="B11" s="12" t="s">
        <v>315</v>
      </c>
      <c r="C11" s="34">
        <v>35258</v>
      </c>
      <c r="D11" s="34" t="e">
        <v>#N/A</v>
      </c>
    </row>
  </sheetData>
  <mergeCells count="1">
    <mergeCell ref="B4:C4"/>
  </mergeCells>
  <conditionalFormatting sqref="I5:I9">
    <cfRule type="colorScale" priority="2">
      <colorScale>
        <cfvo type="min"/>
        <cfvo type="percentile" val="50"/>
        <cfvo type="max"/>
        <color rgb="FFF8696B"/>
        <color rgb="FFFFEB84"/>
        <color rgb="FF63BE7B"/>
      </colorScale>
    </cfRule>
  </conditionalFormatting>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8A87-D8C7-493A-B828-7EAD03147B4F}">
  <dimension ref="B5:I29"/>
  <sheetViews>
    <sheetView workbookViewId="0">
      <selection activeCell="H24" sqref="H24"/>
    </sheetView>
  </sheetViews>
  <sheetFormatPr defaultRowHeight="14.4" x14ac:dyDescent="0.3"/>
  <cols>
    <col min="1" max="2" width="12.5546875" bestFit="1" customWidth="1"/>
    <col min="3" max="3" width="19.21875" bestFit="1" customWidth="1"/>
    <col min="5" max="5" width="12.5546875" bestFit="1" customWidth="1"/>
    <col min="6" max="6" width="19.21875" bestFit="1" customWidth="1"/>
    <col min="8" max="8" width="12.5546875" bestFit="1" customWidth="1"/>
    <col min="9" max="9" width="15.88671875" bestFit="1" customWidth="1"/>
  </cols>
  <sheetData>
    <row r="5" spans="2:9" x14ac:dyDescent="0.3">
      <c r="B5" s="27" t="s">
        <v>329</v>
      </c>
      <c r="C5" s="27"/>
      <c r="E5" s="27" t="s">
        <v>330</v>
      </c>
      <c r="F5" s="27"/>
      <c r="H5" s="27" t="s">
        <v>331</v>
      </c>
      <c r="I5" s="27"/>
    </row>
    <row r="6" spans="2:9" x14ac:dyDescent="0.3">
      <c r="B6" s="11" t="s">
        <v>314</v>
      </c>
      <c r="C6" t="s">
        <v>316</v>
      </c>
      <c r="E6" s="11" t="s">
        <v>314</v>
      </c>
      <c r="F6" t="s">
        <v>316</v>
      </c>
      <c r="H6" s="11" t="s">
        <v>314</v>
      </c>
      <c r="I6" t="s">
        <v>317</v>
      </c>
    </row>
    <row r="7" spans="2:9" x14ac:dyDescent="0.3">
      <c r="B7" s="12" t="s">
        <v>17</v>
      </c>
      <c r="C7" s="34">
        <v>3635</v>
      </c>
      <c r="E7" s="12" t="s">
        <v>28</v>
      </c>
      <c r="F7" s="34">
        <v>4719</v>
      </c>
      <c r="H7" s="12" t="s">
        <v>14</v>
      </c>
      <c r="I7" s="34">
        <v>30</v>
      </c>
    </row>
    <row r="8" spans="2:9" x14ac:dyDescent="0.3">
      <c r="B8" s="12" t="s">
        <v>30</v>
      </c>
      <c r="C8" s="34">
        <v>5456</v>
      </c>
      <c r="E8" s="12" t="s">
        <v>13</v>
      </c>
      <c r="F8" s="34">
        <v>6144</v>
      </c>
      <c r="H8" s="12" t="s">
        <v>19</v>
      </c>
      <c r="I8" s="34">
        <v>34</v>
      </c>
    </row>
    <row r="9" spans="2:9" x14ac:dyDescent="0.3">
      <c r="B9" s="12" t="s">
        <v>21</v>
      </c>
      <c r="C9" s="34">
        <v>7317</v>
      </c>
      <c r="E9" s="12" t="s">
        <v>24</v>
      </c>
      <c r="F9" s="34">
        <v>6649</v>
      </c>
      <c r="H9" s="12" t="s">
        <v>22</v>
      </c>
      <c r="I9" s="34">
        <v>36</v>
      </c>
    </row>
    <row r="10" spans="2:9" x14ac:dyDescent="0.3">
      <c r="B10" s="12" t="s">
        <v>33</v>
      </c>
      <c r="C10" s="34">
        <v>8359</v>
      </c>
      <c r="E10" s="12" t="s">
        <v>31</v>
      </c>
      <c r="F10" s="34">
        <v>8348</v>
      </c>
      <c r="H10" s="12" t="s">
        <v>315</v>
      </c>
      <c r="I10" s="34">
        <v>100</v>
      </c>
    </row>
    <row r="11" spans="2:9" x14ac:dyDescent="0.3">
      <c r="B11" s="12" t="s">
        <v>12</v>
      </c>
      <c r="C11" s="34">
        <v>10491</v>
      </c>
      <c r="E11" s="12" t="s">
        <v>18</v>
      </c>
      <c r="F11" s="34">
        <v>9398</v>
      </c>
    </row>
    <row r="12" spans="2:9" x14ac:dyDescent="0.3">
      <c r="B12" s="12" t="s">
        <v>315</v>
      </c>
      <c r="C12" s="34">
        <v>35258</v>
      </c>
      <c r="E12" s="12" t="s">
        <v>315</v>
      </c>
      <c r="F12" s="34">
        <v>35258</v>
      </c>
      <c r="H12" s="15" t="s">
        <v>343</v>
      </c>
      <c r="I12" s="14"/>
    </row>
    <row r="13" spans="2:9" x14ac:dyDescent="0.3">
      <c r="H13" t="s">
        <v>316</v>
      </c>
    </row>
    <row r="14" spans="2:9" x14ac:dyDescent="0.3">
      <c r="H14" s="34">
        <v>35258</v>
      </c>
    </row>
    <row r="15" spans="2:9" x14ac:dyDescent="0.3">
      <c r="B15" s="27" t="s">
        <v>332</v>
      </c>
      <c r="C15" s="27"/>
    </row>
    <row r="16" spans="2:9" x14ac:dyDescent="0.3">
      <c r="B16" s="11" t="s">
        <v>314</v>
      </c>
      <c r="C16" t="s">
        <v>316</v>
      </c>
      <c r="H16" s="15" t="s">
        <v>362</v>
      </c>
    </row>
    <row r="17" spans="2:9" x14ac:dyDescent="0.3">
      <c r="B17" s="12" t="s">
        <v>333</v>
      </c>
      <c r="C17" s="34">
        <v>1099</v>
      </c>
      <c r="H17" t="s">
        <v>317</v>
      </c>
    </row>
    <row r="18" spans="2:9" x14ac:dyDescent="0.3">
      <c r="B18" s="12" t="s">
        <v>334</v>
      </c>
      <c r="C18" s="34">
        <v>3712</v>
      </c>
      <c r="H18" s="34">
        <v>100</v>
      </c>
    </row>
    <row r="19" spans="2:9" x14ac:dyDescent="0.3">
      <c r="B19" s="12" t="s">
        <v>363</v>
      </c>
      <c r="C19" s="34">
        <v>905</v>
      </c>
    </row>
    <row r="20" spans="2:9" x14ac:dyDescent="0.3">
      <c r="B20" s="12" t="s">
        <v>341</v>
      </c>
      <c r="C20" s="34">
        <v>2637</v>
      </c>
      <c r="H20" s="15" t="s">
        <v>343</v>
      </c>
    </row>
    <row r="21" spans="2:9" x14ac:dyDescent="0.3">
      <c r="B21" s="12" t="s">
        <v>340</v>
      </c>
      <c r="C21" s="34">
        <v>4940</v>
      </c>
      <c r="H21" t="s">
        <v>320</v>
      </c>
    </row>
    <row r="22" spans="2:9" x14ac:dyDescent="0.3">
      <c r="B22" s="12" t="s">
        <v>335</v>
      </c>
      <c r="C22" s="34">
        <v>2599</v>
      </c>
      <c r="H22" s="16">
        <v>3.7647058823529411</v>
      </c>
    </row>
    <row r="23" spans="2:9" x14ac:dyDescent="0.3">
      <c r="B23" s="12" t="s">
        <v>336</v>
      </c>
      <c r="C23" s="34">
        <v>3315</v>
      </c>
    </row>
    <row r="24" spans="2:9" x14ac:dyDescent="0.3">
      <c r="B24" s="12" t="s">
        <v>337</v>
      </c>
      <c r="C24" s="34">
        <v>782</v>
      </c>
      <c r="H24" s="15" t="s">
        <v>343</v>
      </c>
    </row>
    <row r="25" spans="2:9" x14ac:dyDescent="0.3">
      <c r="B25" s="12" t="s">
        <v>364</v>
      </c>
      <c r="C25" s="34">
        <v>1570</v>
      </c>
      <c r="H25" s="11" t="s">
        <v>314</v>
      </c>
      <c r="I25" t="s">
        <v>317</v>
      </c>
    </row>
    <row r="26" spans="2:9" x14ac:dyDescent="0.3">
      <c r="B26" s="12" t="s">
        <v>338</v>
      </c>
      <c r="C26" s="34">
        <v>2920</v>
      </c>
      <c r="H26" s="12" t="s">
        <v>14</v>
      </c>
      <c r="I26" s="13">
        <v>0.3</v>
      </c>
    </row>
    <row r="27" spans="2:9" x14ac:dyDescent="0.3">
      <c r="B27" s="12" t="s">
        <v>342</v>
      </c>
      <c r="C27" s="34">
        <v>6312</v>
      </c>
      <c r="H27" s="12" t="s">
        <v>19</v>
      </c>
      <c r="I27" s="13">
        <v>0.34</v>
      </c>
    </row>
    <row r="28" spans="2:9" x14ac:dyDescent="0.3">
      <c r="B28" s="12" t="s">
        <v>339</v>
      </c>
      <c r="C28" s="34">
        <v>4467</v>
      </c>
      <c r="H28" s="12" t="s">
        <v>22</v>
      </c>
      <c r="I28" s="13">
        <v>0.36</v>
      </c>
    </row>
    <row r="29" spans="2:9" x14ac:dyDescent="0.3">
      <c r="B29" s="12" t="s">
        <v>315</v>
      </c>
      <c r="C29" s="34">
        <v>35258</v>
      </c>
      <c r="H29" s="12" t="s">
        <v>315</v>
      </c>
      <c r="I29" s="13">
        <v>1</v>
      </c>
    </row>
  </sheetData>
  <mergeCells count="4">
    <mergeCell ref="B5:C5"/>
    <mergeCell ref="E5:F5"/>
    <mergeCell ref="H5:I5"/>
    <mergeCell ref="B15:C15"/>
  </mergeCells>
  <conditionalFormatting pivot="1" sqref="C7:C11">
    <cfRule type="colorScale" priority="3">
      <colorScale>
        <cfvo type="min"/>
        <cfvo type="percentile" val="50"/>
        <cfvo type="max"/>
        <color rgb="FFF8696B"/>
        <color rgb="FFFFEB84"/>
        <color rgb="FF63BE7B"/>
      </colorScale>
    </cfRule>
  </conditionalFormatting>
  <conditionalFormatting pivot="1" sqref="F7:F11">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21EBD-4F75-4320-B9A5-6CEFD2EFAC47}">
  <dimension ref="A1:X33"/>
  <sheetViews>
    <sheetView tabSelected="1" zoomScale="109" zoomScaleNormal="110" workbookViewId="0">
      <selection activeCell="F32" sqref="F32"/>
    </sheetView>
  </sheetViews>
  <sheetFormatPr defaultRowHeight="14.4" x14ac:dyDescent="0.3"/>
  <sheetData>
    <row r="1" spans="1:24" x14ac:dyDescent="0.3">
      <c r="A1" s="28"/>
      <c r="B1" s="28"/>
      <c r="C1" s="28"/>
      <c r="D1" s="28"/>
      <c r="E1" s="28"/>
      <c r="F1" s="28"/>
      <c r="G1" s="28"/>
      <c r="H1" s="28"/>
      <c r="I1" s="28"/>
      <c r="J1" s="28"/>
      <c r="K1" s="28"/>
      <c r="L1" s="28"/>
      <c r="M1" s="28"/>
      <c r="N1" s="28"/>
      <c r="O1" s="28"/>
      <c r="P1" s="28"/>
      <c r="Q1" s="28"/>
      <c r="R1" s="28"/>
      <c r="S1" s="28"/>
      <c r="T1" s="28"/>
      <c r="U1" s="17"/>
      <c r="V1" s="17"/>
      <c r="W1" s="17"/>
      <c r="X1" s="17"/>
    </row>
    <row r="2" spans="1:24" x14ac:dyDescent="0.3">
      <c r="A2" s="28"/>
      <c r="B2" s="28"/>
      <c r="C2" s="28"/>
      <c r="D2" s="28"/>
      <c r="E2" s="28"/>
      <c r="F2" s="28"/>
      <c r="G2" s="28"/>
      <c r="H2" s="28"/>
      <c r="I2" s="28"/>
      <c r="J2" s="28"/>
      <c r="K2" s="28"/>
      <c r="L2" s="28"/>
      <c r="M2" s="28"/>
      <c r="N2" s="28"/>
      <c r="O2" s="28"/>
      <c r="P2" s="28"/>
      <c r="Q2" s="28"/>
      <c r="R2" s="28"/>
      <c r="S2" s="28"/>
      <c r="T2" s="28"/>
      <c r="U2" s="17"/>
      <c r="V2" s="17"/>
      <c r="W2" s="17"/>
      <c r="X2" s="17"/>
    </row>
    <row r="3" spans="1:24" x14ac:dyDescent="0.3">
      <c r="A3" s="28"/>
      <c r="B3" s="28"/>
      <c r="C3" s="28"/>
      <c r="D3" s="28"/>
      <c r="E3" s="28"/>
      <c r="F3" s="28"/>
      <c r="G3" s="28"/>
      <c r="H3" s="28"/>
      <c r="I3" s="28"/>
      <c r="J3" s="28"/>
      <c r="K3" s="28"/>
      <c r="L3" s="28"/>
      <c r="M3" s="28"/>
      <c r="N3" s="28"/>
      <c r="O3" s="28"/>
      <c r="P3" s="28"/>
      <c r="Q3" s="28"/>
      <c r="R3" s="28"/>
      <c r="S3" s="28"/>
      <c r="T3" s="28"/>
      <c r="U3" s="17"/>
      <c r="V3" s="17"/>
      <c r="W3" s="17"/>
      <c r="X3" s="17"/>
    </row>
    <row r="4" spans="1:24" x14ac:dyDescent="0.3">
      <c r="A4" s="28"/>
      <c r="B4" s="28"/>
      <c r="C4" s="28"/>
      <c r="D4" s="28"/>
      <c r="E4" s="28"/>
      <c r="F4" s="28"/>
      <c r="G4" s="28"/>
      <c r="H4" s="28"/>
      <c r="I4" s="28"/>
      <c r="J4" s="28"/>
      <c r="K4" s="28"/>
      <c r="L4" s="28"/>
      <c r="M4" s="28"/>
      <c r="N4" s="28"/>
      <c r="O4" s="28"/>
      <c r="P4" s="28"/>
      <c r="Q4" s="28"/>
      <c r="R4" s="28"/>
      <c r="S4" s="28"/>
      <c r="T4" s="28"/>
      <c r="U4" s="17"/>
      <c r="V4" s="17"/>
      <c r="W4" s="17"/>
      <c r="X4" s="17"/>
    </row>
    <row r="5" spans="1:24" x14ac:dyDescent="0.3">
      <c r="A5" s="28"/>
      <c r="B5" s="28"/>
      <c r="C5" s="28"/>
      <c r="D5" s="28"/>
      <c r="E5" s="28"/>
      <c r="F5" s="28"/>
      <c r="G5" s="28"/>
      <c r="H5" s="28"/>
      <c r="I5" s="28"/>
      <c r="J5" s="28"/>
      <c r="K5" s="28"/>
      <c r="L5" s="28"/>
      <c r="M5" s="28"/>
      <c r="N5" s="28"/>
      <c r="O5" s="28"/>
      <c r="P5" s="28"/>
      <c r="Q5" s="28"/>
      <c r="R5" s="28"/>
      <c r="S5" s="28"/>
      <c r="T5" s="28"/>
      <c r="U5" s="17"/>
      <c r="V5" s="17"/>
      <c r="W5" s="17"/>
      <c r="X5" s="17"/>
    </row>
    <row r="6" spans="1:24" x14ac:dyDescent="0.3">
      <c r="A6" s="28"/>
      <c r="B6" s="28"/>
      <c r="C6" s="28"/>
      <c r="D6" s="28"/>
      <c r="E6" s="28"/>
      <c r="F6" s="28"/>
      <c r="G6" s="28"/>
      <c r="H6" s="28"/>
      <c r="I6" s="28"/>
      <c r="J6" s="28"/>
      <c r="K6" s="28"/>
      <c r="L6" s="28"/>
      <c r="M6" s="28"/>
      <c r="N6" s="28"/>
      <c r="O6" s="28"/>
      <c r="P6" s="28"/>
      <c r="Q6" s="28"/>
      <c r="R6" s="28"/>
      <c r="S6" s="28"/>
      <c r="T6" s="28"/>
      <c r="U6" s="17"/>
      <c r="V6" s="17"/>
      <c r="W6" s="17"/>
      <c r="X6" s="17"/>
    </row>
    <row r="7" spans="1:24" x14ac:dyDescent="0.3">
      <c r="A7" s="28"/>
      <c r="B7" s="28"/>
      <c r="C7" s="28"/>
      <c r="D7" s="28"/>
      <c r="E7" s="28"/>
      <c r="F7" s="28"/>
      <c r="G7" s="28"/>
      <c r="H7" s="28"/>
      <c r="I7" s="28"/>
      <c r="J7" s="28"/>
      <c r="K7" s="28"/>
      <c r="L7" s="28"/>
      <c r="M7" s="28"/>
      <c r="N7" s="28"/>
      <c r="O7" s="28"/>
      <c r="P7" s="28"/>
      <c r="Q7" s="28"/>
      <c r="R7" s="28"/>
      <c r="S7" s="28"/>
      <c r="T7" s="28"/>
      <c r="U7" s="17"/>
      <c r="V7" s="17"/>
      <c r="W7" s="17"/>
      <c r="X7" s="17"/>
    </row>
    <row r="8" spans="1:24" x14ac:dyDescent="0.3">
      <c r="A8" s="28"/>
      <c r="B8" s="28"/>
      <c r="C8" s="28"/>
      <c r="D8" s="28"/>
      <c r="E8" s="28"/>
      <c r="F8" s="28"/>
      <c r="G8" s="28"/>
      <c r="H8" s="28"/>
      <c r="I8" s="28"/>
      <c r="J8" s="28"/>
      <c r="K8" s="28"/>
      <c r="L8" s="28"/>
      <c r="M8" s="28"/>
      <c r="N8" s="28"/>
      <c r="O8" s="28"/>
      <c r="P8" s="28"/>
      <c r="Q8" s="28"/>
      <c r="R8" s="28"/>
      <c r="S8" s="28"/>
      <c r="T8" s="28"/>
      <c r="U8" s="17"/>
      <c r="V8" s="17"/>
      <c r="W8" s="17"/>
      <c r="X8" s="17"/>
    </row>
    <row r="9" spans="1:24" x14ac:dyDescent="0.3">
      <c r="A9" s="28"/>
      <c r="B9" s="28"/>
      <c r="C9" s="28"/>
      <c r="D9" s="28"/>
      <c r="E9" s="28"/>
      <c r="F9" s="28"/>
      <c r="G9" s="28"/>
      <c r="H9" s="28"/>
      <c r="I9" s="28"/>
      <c r="J9" s="28"/>
      <c r="K9" s="28"/>
      <c r="L9" s="28"/>
      <c r="M9" s="28"/>
      <c r="N9" s="28"/>
      <c r="O9" s="28"/>
      <c r="P9" s="28"/>
      <c r="Q9" s="28"/>
      <c r="R9" s="28"/>
      <c r="S9" s="28"/>
      <c r="T9" s="28"/>
      <c r="U9" s="17"/>
      <c r="V9" s="17"/>
      <c r="W9" s="17"/>
      <c r="X9" s="17"/>
    </row>
    <row r="10" spans="1:24" x14ac:dyDescent="0.3">
      <c r="A10" s="28"/>
      <c r="B10" s="28"/>
      <c r="C10" s="28"/>
      <c r="D10" s="28"/>
      <c r="E10" s="28"/>
      <c r="F10" s="28"/>
      <c r="G10" s="28"/>
      <c r="H10" s="28"/>
      <c r="I10" s="28"/>
      <c r="J10" s="28"/>
      <c r="K10" s="28"/>
      <c r="L10" s="28"/>
      <c r="M10" s="28"/>
      <c r="N10" s="28"/>
      <c r="O10" s="28"/>
      <c r="P10" s="28"/>
      <c r="Q10" s="28"/>
      <c r="R10" s="28"/>
      <c r="S10" s="28"/>
      <c r="T10" s="28"/>
      <c r="U10" s="17"/>
      <c r="V10" s="17"/>
      <c r="W10" s="17"/>
      <c r="X10" s="17"/>
    </row>
    <row r="11" spans="1:24" x14ac:dyDescent="0.3">
      <c r="A11" s="28"/>
      <c r="B11" s="28"/>
      <c r="C11" s="28"/>
      <c r="D11" s="28"/>
      <c r="E11" s="28"/>
      <c r="F11" s="28"/>
      <c r="G11" s="28"/>
      <c r="H11" s="28"/>
      <c r="I11" s="28"/>
      <c r="J11" s="28"/>
      <c r="K11" s="28"/>
      <c r="L11" s="28"/>
      <c r="M11" s="28"/>
      <c r="N11" s="28"/>
      <c r="O11" s="28"/>
      <c r="P11" s="28"/>
      <c r="Q11" s="28"/>
      <c r="R11" s="28"/>
      <c r="S11" s="28"/>
      <c r="T11" s="28"/>
      <c r="U11" s="17"/>
      <c r="V11" s="17"/>
      <c r="W11" s="17"/>
      <c r="X11" s="17"/>
    </row>
    <row r="12" spans="1:24" x14ac:dyDescent="0.3">
      <c r="A12" s="28"/>
      <c r="B12" s="28"/>
      <c r="C12" s="28"/>
      <c r="D12" s="28"/>
      <c r="E12" s="28"/>
      <c r="F12" s="28"/>
      <c r="G12" s="28"/>
      <c r="H12" s="28"/>
      <c r="I12" s="28"/>
      <c r="J12" s="28"/>
      <c r="K12" s="28"/>
      <c r="L12" s="28"/>
      <c r="M12" s="28"/>
      <c r="N12" s="28"/>
      <c r="O12" s="28"/>
      <c r="P12" s="28"/>
      <c r="Q12" s="28"/>
      <c r="R12" s="28"/>
      <c r="S12" s="28"/>
      <c r="T12" s="28"/>
      <c r="U12" s="17"/>
      <c r="V12" s="17"/>
      <c r="W12" s="17"/>
      <c r="X12" s="17"/>
    </row>
    <row r="13" spans="1:24" x14ac:dyDescent="0.3">
      <c r="A13" s="28"/>
      <c r="B13" s="28"/>
      <c r="C13" s="28"/>
      <c r="D13" s="28"/>
      <c r="E13" s="28"/>
      <c r="F13" s="28"/>
      <c r="G13" s="28"/>
      <c r="H13" s="28"/>
      <c r="I13" s="28"/>
      <c r="J13" s="28"/>
      <c r="K13" s="28"/>
      <c r="L13" s="28"/>
      <c r="M13" s="28"/>
      <c r="N13" s="28"/>
      <c r="O13" s="28"/>
      <c r="P13" s="28"/>
      <c r="Q13" s="28"/>
      <c r="R13" s="28"/>
      <c r="S13" s="28"/>
      <c r="T13" s="28"/>
      <c r="U13" s="17"/>
      <c r="V13" s="17"/>
      <c r="W13" s="17"/>
      <c r="X13" s="17"/>
    </row>
    <row r="14" spans="1:24" x14ac:dyDescent="0.3">
      <c r="A14" s="28"/>
      <c r="B14" s="28"/>
      <c r="C14" s="28"/>
      <c r="D14" s="28"/>
      <c r="E14" s="28"/>
      <c r="F14" s="28"/>
      <c r="G14" s="28"/>
      <c r="H14" s="28"/>
      <c r="I14" s="28"/>
      <c r="J14" s="28"/>
      <c r="K14" s="28"/>
      <c r="L14" s="28"/>
      <c r="M14" s="28"/>
      <c r="N14" s="28"/>
      <c r="O14" s="28"/>
      <c r="P14" s="28"/>
      <c r="Q14" s="28"/>
      <c r="R14" s="28"/>
      <c r="S14" s="28"/>
      <c r="T14" s="28"/>
      <c r="U14" s="17"/>
      <c r="V14" s="17"/>
      <c r="W14" s="17"/>
      <c r="X14" s="17"/>
    </row>
    <row r="15" spans="1:24" x14ac:dyDescent="0.3">
      <c r="A15" s="28"/>
      <c r="B15" s="28"/>
      <c r="C15" s="28"/>
      <c r="D15" s="28"/>
      <c r="E15" s="28"/>
      <c r="F15" s="28"/>
      <c r="G15" s="28"/>
      <c r="H15" s="28"/>
      <c r="I15" s="28"/>
      <c r="J15" s="28"/>
      <c r="K15" s="28"/>
      <c r="L15" s="28"/>
      <c r="M15" s="28"/>
      <c r="N15" s="28"/>
      <c r="O15" s="28"/>
      <c r="P15" s="28"/>
      <c r="Q15" s="28"/>
      <c r="R15" s="28"/>
      <c r="S15" s="28"/>
      <c r="T15" s="28"/>
      <c r="U15" s="17"/>
      <c r="V15" s="17"/>
      <c r="W15" s="17"/>
      <c r="X15" s="17"/>
    </row>
    <row r="16" spans="1:24" x14ac:dyDescent="0.3">
      <c r="A16" s="28"/>
      <c r="B16" s="28"/>
      <c r="C16" s="28"/>
      <c r="D16" s="28"/>
      <c r="E16" s="28"/>
      <c r="F16" s="28"/>
      <c r="G16" s="28"/>
      <c r="H16" s="28"/>
      <c r="I16" s="28"/>
      <c r="J16" s="28"/>
      <c r="K16" s="28"/>
      <c r="L16" s="28"/>
      <c r="M16" s="28"/>
      <c r="N16" s="28"/>
      <c r="O16" s="28"/>
      <c r="P16" s="28"/>
      <c r="Q16" s="28"/>
      <c r="R16" s="28"/>
      <c r="S16" s="28"/>
      <c r="T16" s="28"/>
      <c r="U16" s="17"/>
      <c r="V16" s="17"/>
      <c r="W16" s="17"/>
      <c r="X16" s="17"/>
    </row>
    <row r="17" spans="1:24" x14ac:dyDescent="0.3">
      <c r="A17" s="28"/>
      <c r="B17" s="28"/>
      <c r="C17" s="28"/>
      <c r="D17" s="28"/>
      <c r="E17" s="28"/>
      <c r="F17" s="28"/>
      <c r="G17" s="28"/>
      <c r="H17" s="28"/>
      <c r="I17" s="28"/>
      <c r="J17" s="28"/>
      <c r="K17" s="28"/>
      <c r="L17" s="28"/>
      <c r="M17" s="28"/>
      <c r="N17" s="28"/>
      <c r="O17" s="28"/>
      <c r="P17" s="28"/>
      <c r="Q17" s="28"/>
      <c r="R17" s="28"/>
      <c r="S17" s="28"/>
      <c r="T17" s="28"/>
      <c r="U17" s="17"/>
      <c r="V17" s="17"/>
      <c r="W17" s="17"/>
      <c r="X17" s="17"/>
    </row>
    <row r="18" spans="1:24" x14ac:dyDescent="0.3">
      <c r="A18" s="28"/>
      <c r="B18" s="28"/>
      <c r="C18" s="28"/>
      <c r="D18" s="28"/>
      <c r="E18" s="28"/>
      <c r="F18" s="28"/>
      <c r="G18" s="28"/>
      <c r="H18" s="28"/>
      <c r="I18" s="28"/>
      <c r="J18" s="28"/>
      <c r="K18" s="28"/>
      <c r="L18" s="28"/>
      <c r="M18" s="28"/>
      <c r="N18" s="28"/>
      <c r="O18" s="28"/>
      <c r="P18" s="28"/>
      <c r="Q18" s="28"/>
      <c r="R18" s="28"/>
      <c r="S18" s="28"/>
      <c r="T18" s="28"/>
      <c r="U18" s="17"/>
      <c r="V18" s="17"/>
      <c r="W18" s="17"/>
      <c r="X18" s="17"/>
    </row>
    <row r="19" spans="1:24" x14ac:dyDescent="0.3">
      <c r="A19" s="28"/>
      <c r="B19" s="28"/>
      <c r="C19" s="28"/>
      <c r="D19" s="28"/>
      <c r="E19" s="28"/>
      <c r="F19" s="28"/>
      <c r="G19" s="28"/>
      <c r="H19" s="28"/>
      <c r="I19" s="28"/>
      <c r="J19" s="28"/>
      <c r="K19" s="28"/>
      <c r="L19" s="28"/>
      <c r="M19" s="28"/>
      <c r="N19" s="28"/>
      <c r="O19" s="28"/>
      <c r="P19" s="28"/>
      <c r="Q19" s="28"/>
      <c r="R19" s="28"/>
      <c r="S19" s="28"/>
      <c r="T19" s="28"/>
      <c r="U19" s="17"/>
      <c r="V19" s="17"/>
      <c r="W19" s="17"/>
      <c r="X19" s="17"/>
    </row>
    <row r="20" spans="1:24" x14ac:dyDescent="0.3">
      <c r="A20" s="28"/>
      <c r="B20" s="28"/>
      <c r="C20" s="28"/>
      <c r="D20" s="28"/>
      <c r="E20" s="28"/>
      <c r="F20" s="28"/>
      <c r="G20" s="28"/>
      <c r="H20" s="28"/>
      <c r="I20" s="28"/>
      <c r="J20" s="28"/>
      <c r="K20" s="28"/>
      <c r="L20" s="28"/>
      <c r="M20" s="28"/>
      <c r="N20" s="28"/>
      <c r="O20" s="28"/>
      <c r="P20" s="28"/>
      <c r="Q20" s="28"/>
      <c r="R20" s="28"/>
      <c r="S20" s="28"/>
      <c r="T20" s="28"/>
      <c r="U20" s="17"/>
      <c r="V20" s="17"/>
      <c r="W20" s="17"/>
      <c r="X20" s="17"/>
    </row>
    <row r="21" spans="1:24" x14ac:dyDescent="0.3">
      <c r="A21" s="28"/>
      <c r="B21" s="28"/>
      <c r="C21" s="28"/>
      <c r="D21" s="28"/>
      <c r="E21" s="28"/>
      <c r="F21" s="28"/>
      <c r="G21" s="28"/>
      <c r="H21" s="28"/>
      <c r="I21" s="28"/>
      <c r="J21" s="28"/>
      <c r="K21" s="28"/>
      <c r="L21" s="28"/>
      <c r="M21" s="28"/>
      <c r="N21" s="28"/>
      <c r="O21" s="28"/>
      <c r="P21" s="28"/>
      <c r="Q21" s="28"/>
      <c r="R21" s="28"/>
      <c r="S21" s="28"/>
      <c r="T21" s="28"/>
      <c r="U21" s="17"/>
      <c r="V21" s="17"/>
      <c r="W21" s="17"/>
      <c r="X21" s="17"/>
    </row>
    <row r="22" spans="1:24" x14ac:dyDescent="0.3">
      <c r="A22" s="28"/>
      <c r="B22" s="28"/>
      <c r="C22" s="28"/>
      <c r="D22" s="28"/>
      <c r="E22" s="28"/>
      <c r="F22" s="28"/>
      <c r="G22" s="28"/>
      <c r="H22" s="28"/>
      <c r="I22" s="28"/>
      <c r="J22" s="28"/>
      <c r="K22" s="28"/>
      <c r="L22" s="28"/>
      <c r="M22" s="28"/>
      <c r="N22" s="28"/>
      <c r="O22" s="28"/>
      <c r="P22" s="28"/>
      <c r="Q22" s="28"/>
      <c r="R22" s="28"/>
      <c r="S22" s="28"/>
      <c r="T22" s="28"/>
      <c r="U22" s="17"/>
      <c r="V22" s="17"/>
      <c r="W22" s="17"/>
      <c r="X22" s="17"/>
    </row>
    <row r="23" spans="1:24" x14ac:dyDescent="0.3">
      <c r="A23" s="28"/>
      <c r="B23" s="28"/>
      <c r="C23" s="28"/>
      <c r="D23" s="28"/>
      <c r="E23" s="28"/>
      <c r="F23" s="28"/>
      <c r="G23" s="28"/>
      <c r="H23" s="28"/>
      <c r="I23" s="28"/>
      <c r="J23" s="28"/>
      <c r="K23" s="28"/>
      <c r="L23" s="28"/>
      <c r="M23" s="28"/>
      <c r="N23" s="28"/>
      <c r="O23" s="28"/>
      <c r="P23" s="28"/>
      <c r="Q23" s="28"/>
      <c r="R23" s="28"/>
      <c r="S23" s="28"/>
      <c r="T23" s="28"/>
      <c r="U23" s="17"/>
      <c r="V23" s="17"/>
      <c r="W23" s="17"/>
      <c r="X23" s="17"/>
    </row>
    <row r="24" spans="1:24" x14ac:dyDescent="0.3">
      <c r="A24" s="28"/>
      <c r="B24" s="28"/>
      <c r="C24" s="28"/>
      <c r="D24" s="28"/>
      <c r="E24" s="28"/>
      <c r="F24" s="28"/>
      <c r="G24" s="28"/>
      <c r="H24" s="28"/>
      <c r="I24" s="28"/>
      <c r="J24" s="28"/>
      <c r="K24" s="28"/>
      <c r="L24" s="28"/>
      <c r="M24" s="28"/>
      <c r="N24" s="28"/>
      <c r="O24" s="28"/>
      <c r="P24" s="28"/>
      <c r="Q24" s="28"/>
      <c r="R24" s="28"/>
      <c r="S24" s="28"/>
      <c r="T24" s="28"/>
      <c r="U24" s="17"/>
      <c r="V24" s="17"/>
      <c r="W24" s="17"/>
      <c r="X24" s="17"/>
    </row>
    <row r="25" spans="1:24" x14ac:dyDescent="0.3">
      <c r="A25" s="28"/>
      <c r="B25" s="28"/>
      <c r="C25" s="28"/>
      <c r="D25" s="28"/>
      <c r="E25" s="28"/>
      <c r="F25" s="28"/>
      <c r="G25" s="28"/>
      <c r="H25" s="28"/>
      <c r="I25" s="28"/>
      <c r="J25" s="28"/>
      <c r="K25" s="28"/>
      <c r="L25" s="28"/>
      <c r="M25" s="28"/>
      <c r="N25" s="28"/>
      <c r="O25" s="28"/>
      <c r="P25" s="28"/>
      <c r="Q25" s="28"/>
      <c r="R25" s="28"/>
      <c r="S25" s="28"/>
      <c r="T25" s="28"/>
      <c r="U25" s="17"/>
      <c r="V25" s="17"/>
      <c r="W25" s="17"/>
      <c r="X25" s="17"/>
    </row>
    <row r="26" spans="1:24" x14ac:dyDescent="0.3">
      <c r="A26" s="28"/>
      <c r="B26" s="28"/>
      <c r="C26" s="28"/>
      <c r="D26" s="28"/>
      <c r="E26" s="28"/>
      <c r="F26" s="28"/>
      <c r="G26" s="28"/>
      <c r="H26" s="28"/>
      <c r="I26" s="28"/>
      <c r="J26" s="28"/>
      <c r="K26" s="28"/>
      <c r="L26" s="28"/>
      <c r="M26" s="28"/>
      <c r="N26" s="28"/>
      <c r="O26" s="28"/>
      <c r="P26" s="28"/>
      <c r="Q26" s="28"/>
      <c r="R26" s="28"/>
      <c r="S26" s="28"/>
      <c r="T26" s="28"/>
      <c r="U26" s="17"/>
      <c r="V26" s="17"/>
      <c r="W26" s="17"/>
      <c r="X26" s="17"/>
    </row>
    <row r="27" spans="1:24" x14ac:dyDescent="0.3">
      <c r="A27" s="28"/>
      <c r="B27" s="28"/>
      <c r="C27" s="28"/>
      <c r="D27" s="28"/>
      <c r="E27" s="28"/>
      <c r="F27" s="28"/>
      <c r="G27" s="28"/>
      <c r="H27" s="28"/>
      <c r="I27" s="28"/>
      <c r="J27" s="28"/>
      <c r="K27" s="28"/>
      <c r="L27" s="28"/>
      <c r="M27" s="28"/>
      <c r="N27" s="28"/>
      <c r="O27" s="28"/>
      <c r="P27" s="28"/>
      <c r="Q27" s="28"/>
      <c r="R27" s="28"/>
      <c r="S27" s="28"/>
      <c r="T27" s="28"/>
      <c r="U27" s="17"/>
      <c r="V27" s="17"/>
      <c r="W27" s="17"/>
      <c r="X27" s="17"/>
    </row>
    <row r="28" spans="1:24" x14ac:dyDescent="0.3">
      <c r="A28" s="28"/>
      <c r="B28" s="28"/>
      <c r="C28" s="28"/>
      <c r="D28" s="28"/>
      <c r="E28" s="28"/>
      <c r="F28" s="28"/>
      <c r="G28" s="28"/>
      <c r="H28" s="28"/>
      <c r="I28" s="28"/>
      <c r="J28" s="28"/>
      <c r="K28" s="28"/>
      <c r="L28" s="28"/>
      <c r="M28" s="28"/>
      <c r="N28" s="28"/>
      <c r="O28" s="28"/>
      <c r="P28" s="28"/>
      <c r="Q28" s="28"/>
      <c r="R28" s="28"/>
      <c r="S28" s="28"/>
      <c r="T28" s="28"/>
      <c r="U28" s="17"/>
      <c r="V28" s="17"/>
      <c r="W28" s="17"/>
      <c r="X28" s="17"/>
    </row>
    <row r="29" spans="1:24" x14ac:dyDescent="0.3">
      <c r="A29" s="28"/>
      <c r="B29" s="28"/>
      <c r="C29" s="28"/>
      <c r="D29" s="28"/>
      <c r="E29" s="28"/>
      <c r="F29" s="28"/>
      <c r="G29" s="28"/>
      <c r="H29" s="28"/>
      <c r="I29" s="28"/>
      <c r="J29" s="28"/>
      <c r="K29" s="28"/>
      <c r="L29" s="28"/>
      <c r="M29" s="28"/>
      <c r="N29" s="28"/>
      <c r="O29" s="28"/>
      <c r="P29" s="28"/>
      <c r="Q29" s="28"/>
      <c r="R29" s="28"/>
      <c r="S29" s="28"/>
      <c r="T29" s="28"/>
      <c r="U29" s="17"/>
      <c r="V29" s="17"/>
      <c r="W29" s="17"/>
      <c r="X29" s="17"/>
    </row>
    <row r="30" spans="1:24" x14ac:dyDescent="0.3">
      <c r="A30" s="28"/>
      <c r="B30" s="28"/>
      <c r="C30" s="28"/>
      <c r="D30" s="28"/>
      <c r="E30" s="28"/>
      <c r="F30" s="28"/>
      <c r="G30" s="28"/>
      <c r="H30" s="28"/>
      <c r="I30" s="28"/>
      <c r="J30" s="28"/>
      <c r="K30" s="28"/>
      <c r="L30" s="28"/>
      <c r="M30" s="28"/>
      <c r="N30" s="28"/>
      <c r="O30" s="28"/>
      <c r="P30" s="28"/>
      <c r="Q30" s="28"/>
      <c r="R30" s="28"/>
      <c r="S30" s="28"/>
      <c r="T30" s="28"/>
      <c r="U30" s="17"/>
      <c r="V30" s="17"/>
      <c r="W30" s="17"/>
      <c r="X30" s="17"/>
    </row>
    <row r="31" spans="1:24" x14ac:dyDescent="0.3">
      <c r="A31" s="28"/>
      <c r="B31" s="28"/>
      <c r="C31" s="28"/>
      <c r="D31" s="28"/>
      <c r="E31" s="28"/>
      <c r="F31" s="28"/>
      <c r="G31" s="28"/>
      <c r="H31" s="28"/>
      <c r="I31" s="28"/>
      <c r="J31" s="28"/>
      <c r="K31" s="28"/>
      <c r="L31" s="28"/>
      <c r="M31" s="28"/>
      <c r="N31" s="28"/>
      <c r="O31" s="28"/>
      <c r="P31" s="28"/>
      <c r="Q31" s="28"/>
      <c r="R31" s="28"/>
      <c r="S31" s="28"/>
      <c r="T31" s="28"/>
    </row>
    <row r="33" spans="12:12" x14ac:dyDescent="0.3">
      <c r="L33" s="14"/>
    </row>
  </sheetData>
  <mergeCells count="1">
    <mergeCell ref="A1:T3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107E-3703-41B4-86EA-AD433E74360F}">
  <dimension ref="A1:M34"/>
  <sheetViews>
    <sheetView topLeftCell="A5" zoomScale="90" workbookViewId="0">
      <selection activeCell="M22" sqref="M22"/>
    </sheetView>
  </sheetViews>
  <sheetFormatPr defaultRowHeight="14.4" x14ac:dyDescent="0.3"/>
  <cols>
    <col min="2" max="2" width="13.44140625" bestFit="1" customWidth="1"/>
    <col min="3" max="3" width="19.33203125" bestFit="1" customWidth="1"/>
    <col min="4" max="4" width="18.77734375" bestFit="1" customWidth="1"/>
    <col min="7" max="7" width="13" customWidth="1"/>
    <col min="8" max="8" width="13.109375" customWidth="1"/>
    <col min="11" max="11" width="23.5546875" customWidth="1"/>
    <col min="13" max="13" width="18.109375" customWidth="1"/>
  </cols>
  <sheetData>
    <row r="1" spans="1:13" x14ac:dyDescent="0.3">
      <c r="H1" s="29" t="s">
        <v>344</v>
      </c>
      <c r="I1" s="30"/>
      <c r="J1" s="30"/>
      <c r="K1" s="30"/>
      <c r="L1" s="30"/>
      <c r="M1" s="30"/>
    </row>
    <row r="2" spans="1:13" x14ac:dyDescent="0.3">
      <c r="H2" s="30"/>
      <c r="I2" s="30"/>
      <c r="J2" s="30"/>
      <c r="K2" s="30"/>
      <c r="L2" s="30"/>
      <c r="M2" s="30"/>
    </row>
    <row r="3" spans="1:13" x14ac:dyDescent="0.3">
      <c r="H3" s="30"/>
      <c r="I3" s="30"/>
      <c r="J3" s="30"/>
      <c r="K3" s="30"/>
      <c r="L3" s="30"/>
      <c r="M3" s="30"/>
    </row>
    <row r="6" spans="1:13" x14ac:dyDescent="0.3">
      <c r="A6" s="15" t="s">
        <v>345</v>
      </c>
      <c r="B6" s="18"/>
      <c r="C6" s="18"/>
      <c r="D6" s="18"/>
      <c r="E6" s="18"/>
      <c r="G6" s="15" t="s">
        <v>351</v>
      </c>
      <c r="H6" s="15"/>
      <c r="I6" s="15"/>
      <c r="J6" s="15"/>
      <c r="K6" s="15"/>
      <c r="L6" s="15"/>
      <c r="M6" s="14"/>
    </row>
    <row r="7" spans="1:13" x14ac:dyDescent="0.3">
      <c r="A7" s="31" t="s">
        <v>350</v>
      </c>
      <c r="B7" s="31"/>
      <c r="C7" s="31"/>
      <c r="D7" s="31"/>
      <c r="E7" s="31"/>
      <c r="G7" s="20" t="s">
        <v>352</v>
      </c>
      <c r="H7" s="21">
        <f>COUNTIFS(Orders!$I$1:$I$101,"Delivered",Orders!$P$1:$P$101,"&lt;=2")</f>
        <v>11</v>
      </c>
      <c r="I7" s="22"/>
      <c r="J7" s="22"/>
      <c r="K7" s="22"/>
      <c r="L7" s="22"/>
    </row>
    <row r="8" spans="1:13" x14ac:dyDescent="0.3">
      <c r="A8" s="19" t="s">
        <v>346</v>
      </c>
      <c r="B8" s="11" t="s">
        <v>314</v>
      </c>
      <c r="C8" t="s">
        <v>316</v>
      </c>
      <c r="G8" s="19" t="s">
        <v>346</v>
      </c>
      <c r="H8" s="21" t="s">
        <v>353</v>
      </c>
      <c r="I8" s="21"/>
      <c r="J8" s="21"/>
      <c r="K8" s="21"/>
      <c r="L8" s="21"/>
      <c r="M8" s="14"/>
    </row>
    <row r="9" spans="1:13" x14ac:dyDescent="0.3">
      <c r="B9" s="12" t="s">
        <v>200</v>
      </c>
      <c r="C9" s="34">
        <v>15209</v>
      </c>
    </row>
    <row r="10" spans="1:13" x14ac:dyDescent="0.3">
      <c r="B10" s="12" t="s">
        <v>206</v>
      </c>
      <c r="C10" s="34">
        <v>10951</v>
      </c>
      <c r="G10" s="32" t="s">
        <v>354</v>
      </c>
      <c r="H10" s="32"/>
      <c r="I10" s="32"/>
      <c r="J10" s="32"/>
      <c r="K10" s="32"/>
      <c r="L10" s="32"/>
    </row>
    <row r="11" spans="1:13" ht="14.4" customHeight="1" x14ac:dyDescent="0.3">
      <c r="B11" s="12" t="s">
        <v>211</v>
      </c>
      <c r="C11" s="34">
        <v>3872</v>
      </c>
      <c r="G11" s="33" t="s">
        <v>355</v>
      </c>
      <c r="H11" s="33"/>
      <c r="I11" s="33"/>
      <c r="J11" s="33"/>
      <c r="K11" s="33"/>
      <c r="L11" s="33"/>
    </row>
    <row r="12" spans="1:13" x14ac:dyDescent="0.3">
      <c r="B12" s="12" t="s">
        <v>203</v>
      </c>
      <c r="C12" s="34">
        <v>3511</v>
      </c>
      <c r="G12" s="33"/>
      <c r="H12" s="33"/>
      <c r="I12" s="33"/>
      <c r="J12" s="33"/>
      <c r="K12" s="33"/>
      <c r="L12" s="33"/>
    </row>
    <row r="13" spans="1:13" x14ac:dyDescent="0.3">
      <c r="B13" s="12" t="s">
        <v>218</v>
      </c>
      <c r="C13" s="34">
        <v>1715</v>
      </c>
      <c r="G13" s="33"/>
      <c r="H13" s="33"/>
      <c r="I13" s="33"/>
      <c r="J13" s="33"/>
      <c r="K13" s="33"/>
      <c r="L13" s="33"/>
    </row>
    <row r="14" spans="1:13" x14ac:dyDescent="0.3">
      <c r="B14" s="12" t="s">
        <v>315</v>
      </c>
      <c r="C14" s="34">
        <v>35258</v>
      </c>
    </row>
    <row r="15" spans="1:13" x14ac:dyDescent="0.3">
      <c r="G15" s="32" t="s">
        <v>356</v>
      </c>
      <c r="H15" s="32"/>
      <c r="I15" s="32"/>
      <c r="J15" s="32"/>
      <c r="K15" s="32"/>
      <c r="L15" s="32"/>
    </row>
    <row r="16" spans="1:13" ht="14.4" customHeight="1" x14ac:dyDescent="0.3">
      <c r="A16" s="32" t="s">
        <v>347</v>
      </c>
      <c r="B16" s="32"/>
      <c r="C16" s="32"/>
      <c r="D16" s="32"/>
      <c r="E16" s="32"/>
      <c r="F16" s="14"/>
      <c r="G16" s="33" t="s">
        <v>357</v>
      </c>
      <c r="H16" s="33"/>
      <c r="I16" s="33"/>
      <c r="J16" s="33"/>
      <c r="K16" s="33"/>
      <c r="L16" s="33"/>
    </row>
    <row r="17" spans="1:12" x14ac:dyDescent="0.3">
      <c r="A17" s="31" t="s">
        <v>349</v>
      </c>
      <c r="B17" s="31"/>
      <c r="C17" s="31"/>
      <c r="D17" s="31"/>
      <c r="E17" s="31"/>
      <c r="G17" s="33"/>
      <c r="H17" s="33"/>
      <c r="I17" s="33"/>
      <c r="J17" s="33"/>
      <c r="K17" s="33"/>
      <c r="L17" s="33"/>
    </row>
    <row r="18" spans="1:12" x14ac:dyDescent="0.3">
      <c r="A18" s="19" t="s">
        <v>346</v>
      </c>
      <c r="B18" s="11" t="s">
        <v>314</v>
      </c>
      <c r="C18" t="s">
        <v>348</v>
      </c>
      <c r="G18" s="33"/>
      <c r="H18" s="33"/>
      <c r="I18" s="33"/>
      <c r="J18" s="33"/>
      <c r="K18" s="33"/>
      <c r="L18" s="33"/>
    </row>
    <row r="19" spans="1:12" x14ac:dyDescent="0.3">
      <c r="B19" s="12" t="s">
        <v>12</v>
      </c>
      <c r="C19" s="34">
        <v>25</v>
      </c>
      <c r="G19" s="33"/>
      <c r="H19" s="33"/>
      <c r="I19" s="33"/>
      <c r="J19" s="33"/>
      <c r="K19" s="33"/>
      <c r="L19" s="33"/>
    </row>
    <row r="20" spans="1:12" x14ac:dyDescent="0.3">
      <c r="B20" s="12" t="s">
        <v>33</v>
      </c>
      <c r="C20" s="34">
        <v>23</v>
      </c>
      <c r="G20" s="33"/>
      <c r="H20" s="33"/>
      <c r="I20" s="33"/>
      <c r="J20" s="33"/>
      <c r="K20" s="33"/>
      <c r="L20" s="33"/>
    </row>
    <row r="21" spans="1:12" x14ac:dyDescent="0.3">
      <c r="B21" s="12" t="s">
        <v>21</v>
      </c>
      <c r="C21" s="34">
        <v>20</v>
      </c>
      <c r="G21" s="33"/>
      <c r="H21" s="33"/>
      <c r="I21" s="33"/>
      <c r="J21" s="33"/>
      <c r="K21" s="33"/>
      <c r="L21" s="33"/>
    </row>
    <row r="22" spans="1:12" x14ac:dyDescent="0.3">
      <c r="B22" s="12" t="s">
        <v>17</v>
      </c>
      <c r="C22" s="34">
        <v>18</v>
      </c>
      <c r="G22" s="33"/>
      <c r="H22" s="33"/>
      <c r="I22" s="33"/>
      <c r="J22" s="33"/>
      <c r="K22" s="33"/>
      <c r="L22" s="33"/>
    </row>
    <row r="23" spans="1:12" x14ac:dyDescent="0.3">
      <c r="B23" s="12" t="s">
        <v>30</v>
      </c>
      <c r="C23" s="34">
        <v>14</v>
      </c>
      <c r="G23" s="33"/>
      <c r="H23" s="33"/>
      <c r="I23" s="33"/>
      <c r="J23" s="33"/>
      <c r="K23" s="33"/>
      <c r="L23" s="33"/>
    </row>
    <row r="24" spans="1:12" x14ac:dyDescent="0.3">
      <c r="B24" s="12" t="s">
        <v>315</v>
      </c>
      <c r="C24" s="34">
        <v>100</v>
      </c>
      <c r="G24" s="33"/>
      <c r="H24" s="33"/>
      <c r="I24" s="33"/>
      <c r="J24" s="33"/>
      <c r="K24" s="33"/>
      <c r="L24" s="33"/>
    </row>
    <row r="25" spans="1:12" x14ac:dyDescent="0.3">
      <c r="G25" s="33"/>
      <c r="H25" s="33"/>
      <c r="I25" s="33"/>
      <c r="J25" s="33"/>
      <c r="K25" s="33"/>
      <c r="L25" s="33"/>
    </row>
    <row r="26" spans="1:12" x14ac:dyDescent="0.3">
      <c r="G26" s="33"/>
      <c r="H26" s="33"/>
      <c r="I26" s="33"/>
      <c r="J26" s="33"/>
      <c r="K26" s="33"/>
      <c r="L26" s="33"/>
    </row>
    <row r="27" spans="1:12" x14ac:dyDescent="0.3">
      <c r="G27" s="33"/>
      <c r="H27" s="33"/>
      <c r="I27" s="33"/>
      <c r="J27" s="33"/>
      <c r="K27" s="33"/>
      <c r="L27" s="33"/>
    </row>
    <row r="28" spans="1:12" x14ac:dyDescent="0.3">
      <c r="G28" s="33"/>
      <c r="H28" s="33"/>
      <c r="I28" s="33"/>
      <c r="J28" s="33"/>
      <c r="K28" s="33"/>
      <c r="L28" s="33"/>
    </row>
    <row r="29" spans="1:12" x14ac:dyDescent="0.3">
      <c r="G29" s="33"/>
      <c r="H29" s="33"/>
      <c r="I29" s="33"/>
      <c r="J29" s="33"/>
      <c r="K29" s="33"/>
      <c r="L29" s="33"/>
    </row>
    <row r="30" spans="1:12" x14ac:dyDescent="0.3">
      <c r="G30" s="33"/>
      <c r="H30" s="33"/>
      <c r="I30" s="33"/>
      <c r="J30" s="33"/>
      <c r="K30" s="33"/>
      <c r="L30" s="33"/>
    </row>
    <row r="31" spans="1:12" x14ac:dyDescent="0.3">
      <c r="G31" s="23"/>
      <c r="H31" s="23"/>
      <c r="I31" s="23"/>
      <c r="J31" s="23"/>
      <c r="K31" s="23"/>
    </row>
    <row r="32" spans="1:12" x14ac:dyDescent="0.3">
      <c r="G32" s="23"/>
      <c r="H32" s="23"/>
      <c r="I32" s="23"/>
      <c r="J32" s="23"/>
      <c r="K32" s="23"/>
    </row>
    <row r="33" spans="7:11" x14ac:dyDescent="0.3">
      <c r="G33" s="23"/>
      <c r="H33" s="23"/>
      <c r="I33" s="23"/>
      <c r="J33" s="23"/>
      <c r="K33" s="23"/>
    </row>
    <row r="34" spans="7:11" x14ac:dyDescent="0.3">
      <c r="G34" s="23"/>
      <c r="H34" s="23"/>
      <c r="I34" s="23"/>
      <c r="J34" s="23"/>
      <c r="K34" s="23"/>
    </row>
  </sheetData>
  <mergeCells count="8">
    <mergeCell ref="G16:L30"/>
    <mergeCell ref="A17:E17"/>
    <mergeCell ref="A16:E16"/>
    <mergeCell ref="H1:M3"/>
    <mergeCell ref="A7:E7"/>
    <mergeCell ref="G10:L10"/>
    <mergeCell ref="G11:L13"/>
    <mergeCell ref="G15: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Region wise catogory revenue</vt:lpstr>
      <vt:lpstr>Delry Status wise no of orders</vt:lpstr>
      <vt:lpstr>Regionwise avg delivery time</vt:lpstr>
      <vt:lpstr>Region-wise delivered order</vt:lpstr>
      <vt:lpstr>Delivery Status wise Revenue</vt:lpstr>
      <vt:lpstr>Total Revenue</vt:lpstr>
      <vt:lpstr>%Fast Delivery</vt:lpstr>
      <vt:lpstr>Top 3 Regions</vt:lpstr>
      <vt:lpstr>Highest selling Products</vt:lpstr>
      <vt:lpstr>Orders</vt:lpstr>
      <vt:lpstr>Product Master</vt:lpstr>
      <vt:lpstr>Region Master</vt:lpstr>
      <vt:lpstr>Customer Master</vt:lpstr>
      <vt:lpstr>Region Wise Sum of Sales</vt:lpstr>
      <vt:lpstr>Payment Wise sum of sales</vt:lpstr>
      <vt:lpstr>Pivot Tabless</vt:lpstr>
      <vt:lpstr>Dashboard</vt:lpstr>
      <vt:lpstr>Brain-Stroming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Lucifer 2000</cp:lastModifiedBy>
  <dcterms:created xsi:type="dcterms:W3CDTF">2015-06-05T18:17:20Z</dcterms:created>
  <dcterms:modified xsi:type="dcterms:W3CDTF">2026-03-09T17:05:48Z</dcterms:modified>
</cp:coreProperties>
</file>